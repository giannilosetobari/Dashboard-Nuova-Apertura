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seto\Desktop\"/>
    </mc:Choice>
  </mc:AlternateContent>
  <xr:revisionPtr revIDLastSave="0" documentId="13_ncr:1_{2C4FAA55-8D40-43A6-BA56-9CD0D933778A}" xr6:coauthVersionLast="47" xr6:coauthVersionMax="47" xr10:uidLastSave="{00000000-0000-0000-0000-000000000000}"/>
  <bookViews>
    <workbookView xWindow="2880" yWindow="0" windowWidth="23400" windowHeight="15585" tabRatio="500" xr2:uid="{00000000-000D-0000-FFFF-FFFF00000000}"/>
  </bookViews>
  <sheets>
    <sheet name="DASHBOARD" sheetId="1" r:id="rId1"/>
    <sheet name="AGGIORNAMENTO 2026" sheetId="2" r:id="rId2"/>
    <sheet name="APRI" sheetId="3" r:id="rId3"/>
    <sheet name="CALCOLI" sheetId="4" r:id="rId4"/>
  </sheets>
  <definedNames>
    <definedName name="_Regression_Int" localSheetId="3">1</definedName>
    <definedName name="_xlnm.Print_Area" localSheetId="2">APRI!$A$1:$J$171</definedName>
    <definedName name="_xlnm.Print_Area" localSheetId="3">CALCOLI!$C$51:$L$75</definedName>
    <definedName name="Area_stampa_MI" localSheetId="3">#REF!</definedName>
    <definedName name="solver_lin" localSheetId="3">0</definedName>
    <definedName name="solver_num" localSheetId="3">0</definedName>
    <definedName name="solver_opt" localSheetId="3">#REF!</definedName>
    <definedName name="solver_typ" localSheetId="3">1</definedName>
    <definedName name="solver_val" localSheetId="3">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2" i="4" l="1"/>
  <c r="B211" i="4"/>
  <c r="C210" i="4"/>
  <c r="C211" i="4" s="1"/>
  <c r="C212" i="4" s="1"/>
  <c r="C214" i="4" s="1"/>
  <c r="C215" i="4" s="1"/>
  <c r="B210" i="4"/>
  <c r="B209" i="4"/>
  <c r="E206" i="4"/>
  <c r="E204" i="4"/>
  <c r="G205" i="4" s="1"/>
  <c r="H169" i="4"/>
  <c r="B169" i="4"/>
  <c r="H168" i="4"/>
  <c r="B168" i="4"/>
  <c r="I167" i="4"/>
  <c r="I168" i="4" s="1"/>
  <c r="I169" i="4" s="1"/>
  <c r="I171" i="4" s="1"/>
  <c r="I172" i="4" s="1"/>
  <c r="H167" i="4"/>
  <c r="C167" i="4"/>
  <c r="C168" i="4" s="1"/>
  <c r="C169" i="4" s="1"/>
  <c r="C171" i="4" s="1"/>
  <c r="C172" i="4" s="1"/>
  <c r="B167" i="4"/>
  <c r="H166" i="4"/>
  <c r="B166" i="4"/>
  <c r="K163" i="4"/>
  <c r="E163" i="4"/>
  <c r="K161" i="4"/>
  <c r="M162" i="4" s="1"/>
  <c r="E161" i="4"/>
  <c r="G162" i="4" s="1"/>
  <c r="H98" i="4"/>
  <c r="B98" i="4"/>
  <c r="I97" i="4"/>
  <c r="I98" i="4" s="1"/>
  <c r="I100" i="4" s="1"/>
  <c r="I101" i="4" s="1"/>
  <c r="H97" i="4"/>
  <c r="B97" i="4"/>
  <c r="I96" i="4"/>
  <c r="H96" i="4"/>
  <c r="C96" i="4"/>
  <c r="C97" i="4" s="1"/>
  <c r="C98" i="4" s="1"/>
  <c r="C100" i="4" s="1"/>
  <c r="C101" i="4" s="1"/>
  <c r="B96" i="4"/>
  <c r="H95" i="4"/>
  <c r="B95" i="4"/>
  <c r="K92" i="4"/>
  <c r="E92" i="4"/>
  <c r="K90" i="4"/>
  <c r="M91" i="4" s="1"/>
  <c r="E90" i="4"/>
  <c r="G91" i="4" s="1"/>
  <c r="K89" i="4"/>
  <c r="J95" i="4" s="1"/>
  <c r="E89" i="4"/>
  <c r="C70" i="4"/>
  <c r="C69" i="4"/>
  <c r="F68" i="4"/>
  <c r="G68" i="4" s="1"/>
  <c r="C68" i="4"/>
  <c r="C66" i="4"/>
  <c r="C65" i="4"/>
  <c r="C64" i="4"/>
  <c r="C63" i="4"/>
  <c r="C61" i="4"/>
  <c r="C59" i="4"/>
  <c r="C58" i="4"/>
  <c r="C57" i="4"/>
  <c r="C56" i="4"/>
  <c r="C55" i="4"/>
  <c r="C54" i="4"/>
  <c r="C53" i="4"/>
  <c r="C52" i="4"/>
  <c r="K48" i="4"/>
  <c r="F10" i="3" s="1"/>
  <c r="G10" i="3" s="1"/>
  <c r="K47" i="4"/>
  <c r="K46" i="4"/>
  <c r="D46" i="4"/>
  <c r="D47" i="4" s="1"/>
  <c r="D37" i="4"/>
  <c r="C155" i="3" s="1"/>
  <c r="F65" i="4" s="1"/>
  <c r="M30" i="4"/>
  <c r="L30" i="4"/>
  <c r="L26" i="4"/>
  <c r="K26" i="4"/>
  <c r="J26" i="4"/>
  <c r="H26" i="4"/>
  <c r="G26" i="4"/>
  <c r="F26" i="4"/>
  <c r="E26" i="4"/>
  <c r="D26" i="4"/>
  <c r="L25" i="4"/>
  <c r="K25" i="4"/>
  <c r="J25" i="4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K18" i="4"/>
  <c r="L18" i="4" s="1"/>
  <c r="M18" i="4" s="1"/>
  <c r="N18" i="4" s="1"/>
  <c r="K15" i="4"/>
  <c r="L15" i="4" s="1"/>
  <c r="M15" i="4" s="1"/>
  <c r="N15" i="4" s="1"/>
  <c r="G15" i="4"/>
  <c r="G21" i="4" s="1"/>
  <c r="F15" i="4"/>
  <c r="F21" i="4" s="1"/>
  <c r="E15" i="4"/>
  <c r="E21" i="4" s="1"/>
  <c r="D15" i="4"/>
  <c r="D21" i="4" s="1"/>
  <c r="N13" i="4"/>
  <c r="M13" i="4"/>
  <c r="L13" i="4"/>
  <c r="L14" i="4" s="1"/>
  <c r="K13" i="4"/>
  <c r="K10" i="4"/>
  <c r="L10" i="4" s="1"/>
  <c r="M10" i="4" s="1"/>
  <c r="N10" i="4" s="1"/>
  <c r="K7" i="4"/>
  <c r="L7" i="4" s="1"/>
  <c r="M7" i="4" s="1"/>
  <c r="N7" i="4" s="1"/>
  <c r="N5" i="4"/>
  <c r="N6" i="4" s="1"/>
  <c r="N8" i="4" s="1"/>
  <c r="M5" i="4"/>
  <c r="L5" i="4"/>
  <c r="K5" i="4"/>
  <c r="K4" i="4"/>
  <c r="J171" i="3"/>
  <c r="J170" i="3"/>
  <c r="G170" i="3"/>
  <c r="D170" i="3"/>
  <c r="C170" i="3"/>
  <c r="A170" i="3"/>
  <c r="G169" i="3"/>
  <c r="D169" i="3"/>
  <c r="C169" i="3"/>
  <c r="A169" i="3"/>
  <c r="I168" i="3"/>
  <c r="D168" i="3"/>
  <c r="C168" i="3"/>
  <c r="A168" i="3"/>
  <c r="D167" i="3"/>
  <c r="C167" i="3"/>
  <c r="A167" i="3"/>
  <c r="G165" i="3"/>
  <c r="D164" i="3"/>
  <c r="C164" i="3"/>
  <c r="A164" i="3"/>
  <c r="C156" i="3"/>
  <c r="D136" i="3"/>
  <c r="D129" i="3"/>
  <c r="D128" i="3"/>
  <c r="D127" i="3"/>
  <c r="F126" i="3"/>
  <c r="D126" i="3"/>
  <c r="E124" i="3"/>
  <c r="E144" i="3" s="1"/>
  <c r="H52" i="4" s="1"/>
  <c r="C124" i="3"/>
  <c r="J168" i="3" s="1"/>
  <c r="G122" i="3"/>
  <c r="F122" i="3"/>
  <c r="A122" i="3"/>
  <c r="B121" i="3"/>
  <c r="I119" i="3"/>
  <c r="G32" i="4" s="1"/>
  <c r="G119" i="3"/>
  <c r="F32" i="4" s="1"/>
  <c r="E119" i="3"/>
  <c r="E32" i="4" s="1"/>
  <c r="F117" i="3"/>
  <c r="H117" i="3" s="1"/>
  <c r="J117" i="3" s="1"/>
  <c r="A117" i="3"/>
  <c r="F116" i="3"/>
  <c r="H116" i="3" s="1"/>
  <c r="J116" i="3" s="1"/>
  <c r="A116" i="3"/>
  <c r="F115" i="3"/>
  <c r="H115" i="3" s="1"/>
  <c r="J115" i="3" s="1"/>
  <c r="A115" i="3"/>
  <c r="C82" i="4" s="1"/>
  <c r="F114" i="3"/>
  <c r="H114" i="3" s="1"/>
  <c r="J114" i="3" s="1"/>
  <c r="A114" i="3"/>
  <c r="C81" i="4" s="1"/>
  <c r="F113" i="3"/>
  <c r="H113" i="3" s="1"/>
  <c r="J113" i="3" s="1"/>
  <c r="A113" i="3"/>
  <c r="C80" i="4" s="1"/>
  <c r="F112" i="3"/>
  <c r="H112" i="3" s="1"/>
  <c r="A112" i="3"/>
  <c r="C79" i="4" s="1"/>
  <c r="F109" i="3"/>
  <c r="E109" i="3"/>
  <c r="D109" i="3"/>
  <c r="C109" i="3"/>
  <c r="F108" i="3"/>
  <c r="E108" i="3"/>
  <c r="D100" i="3"/>
  <c r="B95" i="3"/>
  <c r="B94" i="3"/>
  <c r="B93" i="3"/>
  <c r="B96" i="3" s="1"/>
  <c r="D90" i="3"/>
  <c r="E89" i="3"/>
  <c r="C117" i="3" s="1"/>
  <c r="E88" i="3"/>
  <c r="C116" i="3" s="1"/>
  <c r="E87" i="3"/>
  <c r="G87" i="3" s="1"/>
  <c r="E86" i="3"/>
  <c r="G86" i="3" s="1"/>
  <c r="B86" i="3"/>
  <c r="E85" i="3"/>
  <c r="C113" i="3" s="1"/>
  <c r="B85" i="3"/>
  <c r="B84" i="3"/>
  <c r="C78" i="3"/>
  <c r="D74" i="3"/>
  <c r="E74" i="3" s="1"/>
  <c r="F74" i="3" s="1"/>
  <c r="D70" i="3"/>
  <c r="C68" i="3"/>
  <c r="C59" i="3"/>
  <c r="D56" i="3"/>
  <c r="E56" i="3" s="1"/>
  <c r="F56" i="3" s="1"/>
  <c r="B56" i="3"/>
  <c r="B55" i="3"/>
  <c r="D54" i="3"/>
  <c r="E54" i="3" s="1"/>
  <c r="F54" i="3" s="1"/>
  <c r="B54" i="3"/>
  <c r="B52" i="3"/>
  <c r="B51" i="3"/>
  <c r="D50" i="3"/>
  <c r="E50" i="3" s="1"/>
  <c r="F50" i="3" s="1"/>
  <c r="B50" i="3"/>
  <c r="D49" i="3"/>
  <c r="E49" i="3" s="1"/>
  <c r="F49" i="3" s="1"/>
  <c r="B49" i="3"/>
  <c r="D48" i="3"/>
  <c r="F129" i="3" s="1"/>
  <c r="B48" i="3"/>
  <c r="D47" i="3"/>
  <c r="F128" i="3" s="1"/>
  <c r="B47" i="3"/>
  <c r="D46" i="3"/>
  <c r="E46" i="3" s="1"/>
  <c r="B46" i="3"/>
  <c r="D45" i="3"/>
  <c r="F136" i="3" s="1"/>
  <c r="B45" i="3"/>
  <c r="D43" i="3"/>
  <c r="D66" i="3" s="1"/>
  <c r="B43" i="3"/>
  <c r="D40" i="3"/>
  <c r="A40" i="3" s="1"/>
  <c r="D39" i="3"/>
  <c r="A39" i="3" s="1"/>
  <c r="E32" i="3"/>
  <c r="D31" i="3"/>
  <c r="C30" i="3"/>
  <c r="C84" i="3" s="1"/>
  <c r="G163" i="3" s="1"/>
  <c r="F28" i="3"/>
  <c r="D25" i="3"/>
  <c r="C131" i="3" s="1"/>
  <c r="C25" i="3"/>
  <c r="E23" i="3"/>
  <c r="G23" i="3" s="1"/>
  <c r="E22" i="3"/>
  <c r="E21" i="3"/>
  <c r="G21" i="3" s="1"/>
  <c r="I16" i="3"/>
  <c r="G16" i="3"/>
  <c r="D16" i="3"/>
  <c r="A16" i="3" s="1"/>
  <c r="F15" i="3"/>
  <c r="D15" i="3"/>
  <c r="H14" i="3"/>
  <c r="F14" i="3"/>
  <c r="D14" i="3"/>
  <c r="J13" i="3"/>
  <c r="H13" i="3"/>
  <c r="F13" i="3"/>
  <c r="L4" i="4" s="1"/>
  <c r="E13" i="3"/>
  <c r="E18" i="3" s="1"/>
  <c r="D13" i="3"/>
  <c r="E12" i="3"/>
  <c r="G12" i="3" s="1"/>
  <c r="I12" i="3" s="1"/>
  <c r="F8" i="3"/>
  <c r="D48" i="4" s="1"/>
  <c r="D8" i="3"/>
  <c r="C7" i="3"/>
  <c r="C6" i="3"/>
  <c r="C5" i="3"/>
  <c r="C4" i="3"/>
  <c r="C3" i="3"/>
  <c r="E43" i="3" l="1"/>
  <c r="F43" i="3" s="1"/>
  <c r="F24" i="3"/>
  <c r="C79" i="3"/>
  <c r="D7" i="4"/>
  <c r="G85" i="3"/>
  <c r="H24" i="3"/>
  <c r="J24" i="3" s="1"/>
  <c r="K27" i="4"/>
  <c r="K28" i="4" s="1"/>
  <c r="F93" i="3"/>
  <c r="I83" i="4" s="1"/>
  <c r="C19" i="3"/>
  <c r="E47" i="3"/>
  <c r="H128" i="3" s="1"/>
  <c r="L16" i="4"/>
  <c r="J167" i="3"/>
  <c r="D18" i="3"/>
  <c r="D19" i="3" s="1"/>
  <c r="E48" i="3"/>
  <c r="H129" i="3" s="1"/>
  <c r="C144" i="3"/>
  <c r="F52" i="4" s="1"/>
  <c r="I52" i="4" s="1"/>
  <c r="N14" i="4"/>
  <c r="N17" i="4" s="1"/>
  <c r="N19" i="4" s="1"/>
  <c r="D59" i="3"/>
  <c r="D5" i="4" s="1"/>
  <c r="C125" i="3"/>
  <c r="D131" i="3" s="1"/>
  <c r="M95" i="4"/>
  <c r="J96" i="4" s="1"/>
  <c r="M96" i="4" s="1"/>
  <c r="J97" i="4" s="1"/>
  <c r="M97" i="4" s="1"/>
  <c r="J98" i="4" s="1"/>
  <c r="M98" i="4" s="1"/>
  <c r="J100" i="4" s="1"/>
  <c r="L95" i="4"/>
  <c r="C80" i="3"/>
  <c r="C132" i="3"/>
  <c r="D132" i="3" s="1"/>
  <c r="E66" i="3"/>
  <c r="F66" i="3" s="1"/>
  <c r="D69" i="3"/>
  <c r="E69" i="3" s="1"/>
  <c r="D71" i="3"/>
  <c r="F94" i="3"/>
  <c r="I84" i="4" s="1"/>
  <c r="F21" i="3"/>
  <c r="H21" i="3" s="1"/>
  <c r="E45" i="3"/>
  <c r="D63" i="3"/>
  <c r="E63" i="3" s="1"/>
  <c r="D72" i="3"/>
  <c r="E72" i="3" s="1"/>
  <c r="F72" i="3" s="1"/>
  <c r="J14" i="3"/>
  <c r="I124" i="3" s="1"/>
  <c r="I144" i="3" s="1"/>
  <c r="D73" i="3"/>
  <c r="E73" i="3" s="1"/>
  <c r="F73" i="3" s="1"/>
  <c r="H30" i="3"/>
  <c r="J30" i="3" s="1"/>
  <c r="D64" i="3"/>
  <c r="E64" i="3" s="1"/>
  <c r="F64" i="3" s="1"/>
  <c r="G124" i="3"/>
  <c r="G144" i="3" s="1"/>
  <c r="J52" i="4" s="1"/>
  <c r="K52" i="4" s="1"/>
  <c r="J27" i="4"/>
  <c r="I30" i="3"/>
  <c r="I31" i="3" s="1"/>
  <c r="I32" i="3" s="1"/>
  <c r="M92" i="4"/>
  <c r="M90" i="4" s="1"/>
  <c r="F22" i="3"/>
  <c r="H22" i="3" s="1"/>
  <c r="J22" i="3" s="1"/>
  <c r="D65" i="3"/>
  <c r="E65" i="3" s="1"/>
  <c r="F65" i="3" s="1"/>
  <c r="D75" i="3"/>
  <c r="E75" i="3" s="1"/>
  <c r="F75" i="3" s="1"/>
  <c r="A109" i="3"/>
  <c r="C114" i="3"/>
  <c r="E81" i="4" s="1"/>
  <c r="F81" i="4" s="1"/>
  <c r="G81" i="4" s="1"/>
  <c r="H81" i="4" s="1"/>
  <c r="I81" i="4" s="1"/>
  <c r="J81" i="4" s="1"/>
  <c r="K81" i="4" s="1"/>
  <c r="L81" i="4" s="1"/>
  <c r="L27" i="4"/>
  <c r="L28" i="4" s="1"/>
  <c r="D67" i="3"/>
  <c r="E67" i="3" s="1"/>
  <c r="F67" i="3" s="1"/>
  <c r="D76" i="3"/>
  <c r="E76" i="3" s="1"/>
  <c r="F76" i="3" s="1"/>
  <c r="B16" i="3"/>
  <c r="F23" i="3"/>
  <c r="H23" i="3" s="1"/>
  <c r="J23" i="3" s="1"/>
  <c r="D77" i="3"/>
  <c r="C115" i="3"/>
  <c r="E82" i="4" s="1"/>
  <c r="F82" i="4" s="1"/>
  <c r="G82" i="4" s="1"/>
  <c r="H82" i="4" s="1"/>
  <c r="I82" i="4" s="1"/>
  <c r="J82" i="4" s="1"/>
  <c r="K82" i="4" s="1"/>
  <c r="L82" i="4" s="1"/>
  <c r="F127" i="3"/>
  <c r="N9" i="4"/>
  <c r="N11" i="4" s="1"/>
  <c r="N12" i="4" s="1"/>
  <c r="D28" i="4"/>
  <c r="E20" i="4" s="1"/>
  <c r="E28" i="4" s="1"/>
  <c r="F63" i="3"/>
  <c r="J21" i="3"/>
  <c r="G65" i="4"/>
  <c r="J112" i="3"/>
  <c r="H127" i="3"/>
  <c r="F46" i="3"/>
  <c r="J127" i="3" s="1"/>
  <c r="K32" i="4"/>
  <c r="G18" i="3"/>
  <c r="I18" i="3" s="1"/>
  <c r="E24" i="3"/>
  <c r="E25" i="3" s="1"/>
  <c r="F18" i="3" s="1"/>
  <c r="F19" i="3" s="1"/>
  <c r="E19" i="3"/>
  <c r="E84" i="3"/>
  <c r="C90" i="3"/>
  <c r="G167" i="3" s="1"/>
  <c r="I21" i="3"/>
  <c r="E4" i="4"/>
  <c r="M4" i="4"/>
  <c r="F66" i="4"/>
  <c r="E156" i="3"/>
  <c r="F4" i="4"/>
  <c r="E48" i="4"/>
  <c r="C8" i="3"/>
  <c r="E8" i="3" s="1"/>
  <c r="I167" i="3"/>
  <c r="G4" i="4"/>
  <c r="L17" i="4"/>
  <c r="L19" i="4" s="1"/>
  <c r="G22" i="3"/>
  <c r="H29" i="3"/>
  <c r="C171" i="3"/>
  <c r="I29" i="3"/>
  <c r="G84" i="4"/>
  <c r="K84" i="4"/>
  <c r="E84" i="4"/>
  <c r="F84" i="4" s="1"/>
  <c r="K6" i="4"/>
  <c r="K8" i="4" s="1"/>
  <c r="G60" i="4"/>
  <c r="C146" i="3"/>
  <c r="F54" i="4" s="1"/>
  <c r="L6" i="4"/>
  <c r="L8" i="4" s="1"/>
  <c r="K14" i="4"/>
  <c r="K16" i="4" s="1"/>
  <c r="E46" i="4"/>
  <c r="D95" i="4"/>
  <c r="G92" i="4"/>
  <c r="F95" i="3"/>
  <c r="E80" i="4"/>
  <c r="F80" i="4" s="1"/>
  <c r="G80" i="4" s="1"/>
  <c r="H80" i="4" s="1"/>
  <c r="I80" i="4" s="1"/>
  <c r="J80" i="4" s="1"/>
  <c r="K80" i="4" s="1"/>
  <c r="L80" i="4" s="1"/>
  <c r="I164" i="3"/>
  <c r="M6" i="4"/>
  <c r="M8" i="4" s="1"/>
  <c r="D62" i="3"/>
  <c r="M14" i="4"/>
  <c r="M16" i="4" s="1"/>
  <c r="N16" i="4"/>
  <c r="L98" i="4" l="1"/>
  <c r="E70" i="3"/>
  <c r="F70" i="3" s="1"/>
  <c r="E52" i="4"/>
  <c r="E77" i="3"/>
  <c r="F77" i="3" s="1"/>
  <c r="E71" i="3"/>
  <c r="F71" i="3" s="1"/>
  <c r="C128" i="3"/>
  <c r="H31" i="3"/>
  <c r="J31" i="3" s="1"/>
  <c r="C136" i="3"/>
  <c r="D11" i="4" s="1"/>
  <c r="L96" i="4"/>
  <c r="K96" i="4" s="1"/>
  <c r="C127" i="3"/>
  <c r="D8" i="4" s="1"/>
  <c r="M99" i="4"/>
  <c r="C129" i="3"/>
  <c r="F55" i="4" s="1"/>
  <c r="D34" i="4" s="1"/>
  <c r="E33" i="4" s="1"/>
  <c r="E160" i="4"/>
  <c r="D166" i="4" s="1"/>
  <c r="C148" i="3"/>
  <c r="F56" i="4" s="1"/>
  <c r="G56" i="4" s="1"/>
  <c r="J164" i="3"/>
  <c r="F48" i="3"/>
  <c r="J129" i="3" s="1"/>
  <c r="F47" i="3"/>
  <c r="J128" i="3" s="1"/>
  <c r="E83" i="4"/>
  <c r="F83" i="4" s="1"/>
  <c r="I19" i="3"/>
  <c r="K160" i="4"/>
  <c r="J166" i="4" s="1"/>
  <c r="L166" i="4" s="1"/>
  <c r="L20" i="4"/>
  <c r="G83" i="4"/>
  <c r="C126" i="3"/>
  <c r="C151" i="3" s="1"/>
  <c r="F59" i="4" s="1"/>
  <c r="J29" i="3"/>
  <c r="N20" i="4"/>
  <c r="F69" i="3"/>
  <c r="K98" i="4"/>
  <c r="G24" i="3"/>
  <c r="F37" i="4" s="1"/>
  <c r="K95" i="4"/>
  <c r="L97" i="4"/>
  <c r="K97" i="4" s="1"/>
  <c r="H84" i="4"/>
  <c r="J84" i="4" s="1"/>
  <c r="L84" i="4" s="1"/>
  <c r="K83" i="4"/>
  <c r="H136" i="3"/>
  <c r="F45" i="3"/>
  <c r="J136" i="3" s="1"/>
  <c r="M17" i="4"/>
  <c r="M19" i="4" s="1"/>
  <c r="M20" i="4" s="1"/>
  <c r="D78" i="3"/>
  <c r="E7" i="4" s="1"/>
  <c r="M100" i="4"/>
  <c r="J101" i="4" s="1"/>
  <c r="L100" i="4"/>
  <c r="K100" i="4"/>
  <c r="F48" i="4"/>
  <c r="E125" i="3"/>
  <c r="D171" i="3"/>
  <c r="J15" i="3"/>
  <c r="J126" i="3" s="1"/>
  <c r="H15" i="3"/>
  <c r="H126" i="3" s="1"/>
  <c r="G90" i="4"/>
  <c r="G163" i="4"/>
  <c r="G19" i="3"/>
  <c r="K17" i="4"/>
  <c r="K19" i="4" s="1"/>
  <c r="E62" i="3"/>
  <c r="D68" i="3"/>
  <c r="M9" i="4"/>
  <c r="M11" i="4" s="1"/>
  <c r="M12" i="4" s="1"/>
  <c r="L52" i="4"/>
  <c r="D9" i="4"/>
  <c r="I22" i="3"/>
  <c r="I23" i="3" s="1"/>
  <c r="E37" i="4"/>
  <c r="E155" i="3" s="1"/>
  <c r="K20" i="4"/>
  <c r="G164" i="3"/>
  <c r="F25" i="3"/>
  <c r="E131" i="3" s="1"/>
  <c r="G52" i="4"/>
  <c r="G62" i="4"/>
  <c r="C112" i="3"/>
  <c r="E90" i="3"/>
  <c r="G84" i="3"/>
  <c r="G95" i="4"/>
  <c r="D96" i="4" s="1"/>
  <c r="F95" i="4"/>
  <c r="E95" i="4" s="1"/>
  <c r="D138" i="4"/>
  <c r="E63" i="4" s="1"/>
  <c r="E47" i="4"/>
  <c r="E146" i="3" s="1"/>
  <c r="H54" i="4" s="1"/>
  <c r="F46" i="4"/>
  <c r="K85" i="4"/>
  <c r="I85" i="4"/>
  <c r="G85" i="4"/>
  <c r="E85" i="4"/>
  <c r="F85" i="4" s="1"/>
  <c r="H85" i="4" s="1"/>
  <c r="L9" i="4"/>
  <c r="L11" i="4" s="1"/>
  <c r="L12" i="4" s="1"/>
  <c r="K9" i="4"/>
  <c r="K11" i="4" s="1"/>
  <c r="K12" i="4" s="1"/>
  <c r="G25" i="3"/>
  <c r="F96" i="3"/>
  <c r="E66" i="4"/>
  <c r="G66" i="4" s="1"/>
  <c r="E54" i="4"/>
  <c r="G54" i="4" s="1"/>
  <c r="F20" i="4"/>
  <c r="F28" i="4" s="1"/>
  <c r="E148" i="3"/>
  <c r="H56" i="4" s="1"/>
  <c r="G156" i="3"/>
  <c r="H66" i="4"/>
  <c r="I66" i="4" s="1"/>
  <c r="E203" i="4"/>
  <c r="N4" i="4"/>
  <c r="D41" i="4" l="1"/>
  <c r="H32" i="3"/>
  <c r="J32" i="3" s="1"/>
  <c r="C147" i="3"/>
  <c r="F78" i="3"/>
  <c r="G55" i="4"/>
  <c r="E78" i="3"/>
  <c r="F7" i="4" s="1"/>
  <c r="H83" i="4"/>
  <c r="J83" i="4" s="1"/>
  <c r="L83" i="4" s="1"/>
  <c r="N21" i="4"/>
  <c r="F38" i="3" s="1"/>
  <c r="J85" i="4"/>
  <c r="L85" i="4" s="1"/>
  <c r="L21" i="4"/>
  <c r="F36" i="3" s="1"/>
  <c r="E134" i="3" s="1"/>
  <c r="F134" i="3" s="1"/>
  <c r="K99" i="4"/>
  <c r="M163" i="4"/>
  <c r="M161" i="4" s="1"/>
  <c r="D79" i="3"/>
  <c r="K21" i="4"/>
  <c r="F35" i="3" s="1"/>
  <c r="C134" i="3" s="1"/>
  <c r="D134" i="3" s="1"/>
  <c r="H25" i="3"/>
  <c r="G131" i="3" s="1"/>
  <c r="K34" i="4" s="1"/>
  <c r="C130" i="3"/>
  <c r="D130" i="3" s="1"/>
  <c r="D13" i="4"/>
  <c r="L99" i="4"/>
  <c r="I25" i="3"/>
  <c r="J18" i="3" s="1"/>
  <c r="J19" i="3" s="1"/>
  <c r="J25" i="3"/>
  <c r="I131" i="3" s="1"/>
  <c r="M21" i="4"/>
  <c r="F37" i="3" s="1"/>
  <c r="G134" i="3" s="1"/>
  <c r="F131" i="3"/>
  <c r="K33" i="4"/>
  <c r="E136" i="3"/>
  <c r="E11" i="4" s="1"/>
  <c r="E126" i="3"/>
  <c r="E151" i="3" s="1"/>
  <c r="E129" i="3"/>
  <c r="H55" i="4" s="1"/>
  <c r="E127" i="3"/>
  <c r="E8" i="4" s="1"/>
  <c r="E128" i="3"/>
  <c r="G48" i="4"/>
  <c r="I125" i="3" s="1"/>
  <c r="G125" i="3"/>
  <c r="I156" i="3"/>
  <c r="L66" i="4" s="1"/>
  <c r="J66" i="4"/>
  <c r="G161" i="4"/>
  <c r="G7" i="4"/>
  <c r="G166" i="4"/>
  <c r="D167" i="4" s="1"/>
  <c r="F166" i="4"/>
  <c r="E79" i="4"/>
  <c r="D80" i="3"/>
  <c r="E132" i="3"/>
  <c r="F132" i="3" s="1"/>
  <c r="G96" i="4"/>
  <c r="D97" i="4" s="1"/>
  <c r="F96" i="4"/>
  <c r="E96" i="4" s="1"/>
  <c r="G20" i="4"/>
  <c r="G28" i="4" s="1"/>
  <c r="G148" i="3"/>
  <c r="J56" i="4" s="1"/>
  <c r="K56" i="4" s="1"/>
  <c r="M52" i="4"/>
  <c r="G46" i="4"/>
  <c r="G47" i="4" s="1"/>
  <c r="I146" i="3" s="1"/>
  <c r="L54" i="4" s="1"/>
  <c r="F47" i="4"/>
  <c r="G146" i="3" s="1"/>
  <c r="J54" i="4" s="1"/>
  <c r="M101" i="4"/>
  <c r="J102" i="4" s="1"/>
  <c r="K101" i="4"/>
  <c r="L101" i="4"/>
  <c r="D209" i="4"/>
  <c r="G206" i="4"/>
  <c r="H65" i="4"/>
  <c r="G155" i="3"/>
  <c r="E68" i="3"/>
  <c r="E79" i="3" s="1"/>
  <c r="F62" i="3"/>
  <c r="F68" i="3" s="1"/>
  <c r="F79" i="3" s="1"/>
  <c r="I165" i="3"/>
  <c r="H18" i="3"/>
  <c r="H19" i="3" s="1"/>
  <c r="I134" i="3"/>
  <c r="C118" i="3"/>
  <c r="C119" i="3" s="1"/>
  <c r="G168" i="3"/>
  <c r="G171" i="3" s="1"/>
  <c r="E59" i="4"/>
  <c r="I56" i="4"/>
  <c r="G37" i="4"/>
  <c r="I54" i="4"/>
  <c r="K166" i="4" l="1"/>
  <c r="M166" i="4" s="1"/>
  <c r="J167" i="4" s="1"/>
  <c r="J131" i="3"/>
  <c r="H131" i="3"/>
  <c r="J134" i="3"/>
  <c r="K35" i="4"/>
  <c r="M66" i="4"/>
  <c r="F80" i="3"/>
  <c r="I132" i="3"/>
  <c r="C145" i="3"/>
  <c r="D4" i="4"/>
  <c r="D6" i="4" s="1"/>
  <c r="G204" i="4"/>
  <c r="H20" i="4"/>
  <c r="H28" i="4" s="1"/>
  <c r="I148" i="3"/>
  <c r="L56" i="4" s="1"/>
  <c r="M56" i="4" s="1"/>
  <c r="G209" i="4"/>
  <c r="D210" i="4" s="1"/>
  <c r="F209" i="4"/>
  <c r="E209" i="4" s="1"/>
  <c r="E147" i="3"/>
  <c r="E34" i="4"/>
  <c r="F33" i="4" s="1"/>
  <c r="I55" i="4"/>
  <c r="K66" i="4"/>
  <c r="J165" i="3"/>
  <c r="E130" i="3"/>
  <c r="E13" i="4"/>
  <c r="G59" i="4"/>
  <c r="F97" i="4"/>
  <c r="G97" i="4"/>
  <c r="D98" i="4" s="1"/>
  <c r="H59" i="4"/>
  <c r="L167" i="4"/>
  <c r="G167" i="4"/>
  <c r="D168" i="4" s="1"/>
  <c r="F167" i="4"/>
  <c r="E167" i="4" s="1"/>
  <c r="E80" i="3"/>
  <c r="G132" i="3"/>
  <c r="L102" i="4"/>
  <c r="K102" i="4"/>
  <c r="M102" i="4"/>
  <c r="J103" i="4" s="1"/>
  <c r="J65" i="4"/>
  <c r="K65" i="4" s="1"/>
  <c r="I155" i="3"/>
  <c r="L65" i="4" s="1"/>
  <c r="M54" i="4"/>
  <c r="G126" i="3"/>
  <c r="G129" i="3"/>
  <c r="J55" i="4" s="1"/>
  <c r="K55" i="4" s="1"/>
  <c r="G127" i="3"/>
  <c r="F8" i="4" s="1"/>
  <c r="G136" i="3"/>
  <c r="F11" i="4" s="1"/>
  <c r="G128" i="3"/>
  <c r="I65" i="4"/>
  <c r="E166" i="4"/>
  <c r="I129" i="3"/>
  <c r="L55" i="4" s="1"/>
  <c r="I127" i="3"/>
  <c r="G8" i="4" s="1"/>
  <c r="I136" i="3"/>
  <c r="G11" i="4" s="1"/>
  <c r="I128" i="3"/>
  <c r="I126" i="3"/>
  <c r="I151" i="3" s="1"/>
  <c r="F79" i="4"/>
  <c r="E86" i="4"/>
  <c r="D119" i="3" s="1"/>
  <c r="C133" i="3" s="1"/>
  <c r="K54" i="4"/>
  <c r="E41" i="4"/>
  <c r="E9" i="4"/>
  <c r="H134" i="3"/>
  <c r="L59" i="4" l="1"/>
  <c r="G147" i="3"/>
  <c r="M55" i="4"/>
  <c r="F34" i="4"/>
  <c r="G33" i="4" s="1"/>
  <c r="K167" i="4"/>
  <c r="G9" i="4"/>
  <c r="G41" i="4"/>
  <c r="G130" i="3"/>
  <c r="F13" i="4"/>
  <c r="F41" i="4"/>
  <c r="F9" i="4"/>
  <c r="F98" i="4"/>
  <c r="E98" i="4" s="1"/>
  <c r="G98" i="4"/>
  <c r="E97" i="4"/>
  <c r="G210" i="4"/>
  <c r="D211" i="4" s="1"/>
  <c r="F210" i="4"/>
  <c r="E210" i="4" s="1"/>
  <c r="F53" i="4"/>
  <c r="E145" i="3"/>
  <c r="I130" i="3"/>
  <c r="G13" i="4"/>
  <c r="I59" i="4"/>
  <c r="I147" i="3"/>
  <c r="G34" i="4"/>
  <c r="L103" i="4"/>
  <c r="L104" i="4" s="1"/>
  <c r="K103" i="4"/>
  <c r="K104" i="4" s="1"/>
  <c r="M103" i="4"/>
  <c r="D35" i="4"/>
  <c r="D133" i="3"/>
  <c r="C154" i="3"/>
  <c r="J132" i="3"/>
  <c r="F130" i="3"/>
  <c r="G168" i="4"/>
  <c r="D169" i="4" s="1"/>
  <c r="F168" i="4"/>
  <c r="E168" i="4" s="1"/>
  <c r="M65" i="4"/>
  <c r="F86" i="4"/>
  <c r="G79" i="4"/>
  <c r="G151" i="3"/>
  <c r="H132" i="3"/>
  <c r="J105" i="4" l="1"/>
  <c r="M104" i="4"/>
  <c r="E53" i="4"/>
  <c r="G169" i="4"/>
  <c r="F169" i="4"/>
  <c r="G211" i="4"/>
  <c r="D212" i="4" s="1"/>
  <c r="F211" i="4"/>
  <c r="E211" i="4" s="1"/>
  <c r="H130" i="3"/>
  <c r="F99" i="4"/>
  <c r="F142" i="4" s="1"/>
  <c r="G74" i="4" s="1"/>
  <c r="E99" i="4"/>
  <c r="E142" i="4" s="1"/>
  <c r="D31" i="4" s="1"/>
  <c r="G99" i="4"/>
  <c r="G142" i="4" s="1"/>
  <c r="C153" i="3" s="1"/>
  <c r="F63" i="4" s="1"/>
  <c r="D100" i="4"/>
  <c r="M167" i="4"/>
  <c r="J168" i="4" s="1"/>
  <c r="J59" i="4"/>
  <c r="G86" i="4"/>
  <c r="F119" i="3" s="1"/>
  <c r="E133" i="3" s="1"/>
  <c r="E154" i="3" s="1"/>
  <c r="H79" i="4"/>
  <c r="F64" i="4"/>
  <c r="J130" i="3"/>
  <c r="H53" i="4"/>
  <c r="I53" i="4" s="1"/>
  <c r="G145" i="3"/>
  <c r="H64" i="4" l="1"/>
  <c r="I64" i="4" s="1"/>
  <c r="G100" i="4"/>
  <c r="D101" i="4" s="1"/>
  <c r="F100" i="4"/>
  <c r="E100" i="4"/>
  <c r="G63" i="4"/>
  <c r="E169" i="4"/>
  <c r="E170" i="4" s="1"/>
  <c r="F170" i="4"/>
  <c r="D171" i="4"/>
  <c r="G170" i="4"/>
  <c r="G64" i="4"/>
  <c r="H86" i="4"/>
  <c r="I79" i="4"/>
  <c r="F133" i="3"/>
  <c r="E35" i="4"/>
  <c r="G53" i="4"/>
  <c r="E58" i="4"/>
  <c r="J53" i="4"/>
  <c r="I145" i="3"/>
  <c r="M59" i="4"/>
  <c r="K59" i="4"/>
  <c r="K53" i="4"/>
  <c r="L168" i="4"/>
  <c r="G212" i="4"/>
  <c r="F212" i="4"/>
  <c r="L105" i="4"/>
  <c r="K105" i="4"/>
  <c r="M105" i="4"/>
  <c r="J106" i="4" s="1"/>
  <c r="D214" i="4" l="1"/>
  <c r="G213" i="4"/>
  <c r="K168" i="4"/>
  <c r="I86" i="4"/>
  <c r="H119" i="3" s="1"/>
  <c r="G133" i="3" s="1"/>
  <c r="J79" i="4"/>
  <c r="G101" i="4"/>
  <c r="D102" i="4" s="1"/>
  <c r="F101" i="4"/>
  <c r="E101" i="4"/>
  <c r="M106" i="4"/>
  <c r="J107" i="4" s="1"/>
  <c r="L106" i="4"/>
  <c r="K106" i="4"/>
  <c r="L53" i="4"/>
  <c r="M53" i="4" s="1"/>
  <c r="G171" i="4"/>
  <c r="D172" i="4" s="1"/>
  <c r="F171" i="4"/>
  <c r="E171" i="4"/>
  <c r="E212" i="4"/>
  <c r="E213" i="4" s="1"/>
  <c r="F213" i="4"/>
  <c r="M107" i="4" l="1"/>
  <c r="J108" i="4" s="1"/>
  <c r="L107" i="4"/>
  <c r="K107" i="4"/>
  <c r="J86" i="4"/>
  <c r="K79" i="4"/>
  <c r="F35" i="4"/>
  <c r="H133" i="3"/>
  <c r="G154" i="3"/>
  <c r="G172" i="4"/>
  <c r="D173" i="4" s="1"/>
  <c r="F172" i="4"/>
  <c r="E172" i="4"/>
  <c r="M168" i="4"/>
  <c r="J169" i="4" s="1"/>
  <c r="F102" i="4"/>
  <c r="E102" i="4"/>
  <c r="G102" i="4"/>
  <c r="D103" i="4" s="1"/>
  <c r="G214" i="4"/>
  <c r="D215" i="4" s="1"/>
  <c r="F214" i="4"/>
  <c r="E214" i="4"/>
  <c r="L169" i="4" l="1"/>
  <c r="G103" i="4"/>
  <c r="E103" i="4"/>
  <c r="E104" i="4" s="1"/>
  <c r="E147" i="4" s="1"/>
  <c r="E31" i="4" s="1"/>
  <c r="F103" i="4"/>
  <c r="F104" i="4" s="1"/>
  <c r="F147" i="4" s="1"/>
  <c r="I74" i="4" s="1"/>
  <c r="J64" i="4"/>
  <c r="K86" i="4"/>
  <c r="J119" i="3" s="1"/>
  <c r="I133" i="3" s="1"/>
  <c r="L79" i="4"/>
  <c r="L86" i="4" s="1"/>
  <c r="M108" i="4"/>
  <c r="L108" i="4"/>
  <c r="L109" i="4" s="1"/>
  <c r="K108" i="4"/>
  <c r="K109" i="4" s="1"/>
  <c r="F215" i="4"/>
  <c r="G215" i="4"/>
  <c r="D216" i="4" s="1"/>
  <c r="E215" i="4"/>
  <c r="G173" i="4"/>
  <c r="D174" i="4" s="1"/>
  <c r="F173" i="4"/>
  <c r="E173" i="4"/>
  <c r="G35" i="4" l="1"/>
  <c r="J133" i="3"/>
  <c r="G174" i="4"/>
  <c r="F174" i="4"/>
  <c r="F175" i="4" s="1"/>
  <c r="E174" i="4"/>
  <c r="E175" i="4" s="1"/>
  <c r="I154" i="3"/>
  <c r="L64" i="4" s="1"/>
  <c r="M64" i="4" s="1"/>
  <c r="K64" i="4"/>
  <c r="G216" i="4"/>
  <c r="D217" i="4" s="1"/>
  <c r="F216" i="4"/>
  <c r="E216" i="4"/>
  <c r="D105" i="4"/>
  <c r="G104" i="4"/>
  <c r="G147" i="4" s="1"/>
  <c r="E153" i="3" s="1"/>
  <c r="H63" i="4" s="1"/>
  <c r="K169" i="4"/>
  <c r="L170" i="4"/>
  <c r="I213" i="4" s="1"/>
  <c r="M109" i="4"/>
  <c r="J110" i="4"/>
  <c r="M110" i="4" l="1"/>
  <c r="J111" i="4" s="1"/>
  <c r="L110" i="4"/>
  <c r="K110" i="4"/>
  <c r="G105" i="4"/>
  <c r="D106" i="4" s="1"/>
  <c r="F105" i="4"/>
  <c r="E105" i="4"/>
  <c r="K170" i="4"/>
  <c r="H213" i="4" s="1"/>
  <c r="J213" i="4" s="1"/>
  <c r="C135" i="3" s="1"/>
  <c r="M169" i="4"/>
  <c r="G175" i="4"/>
  <c r="D176" i="4"/>
  <c r="I63" i="4"/>
  <c r="F217" i="4"/>
  <c r="F218" i="4" s="1"/>
  <c r="G217" i="4"/>
  <c r="E217" i="4"/>
  <c r="E218" i="4" s="1"/>
  <c r="M170" i="4" l="1"/>
  <c r="J171" i="4"/>
  <c r="G176" i="4"/>
  <c r="D177" i="4" s="1"/>
  <c r="E176" i="4"/>
  <c r="F176" i="4"/>
  <c r="D10" i="4"/>
  <c r="D12" i="4" s="1"/>
  <c r="D14" i="4" s="1"/>
  <c r="D135" i="3"/>
  <c r="C137" i="3"/>
  <c r="D219" i="4"/>
  <c r="G218" i="4"/>
  <c r="G106" i="4"/>
  <c r="D107" i="4" s="1"/>
  <c r="F106" i="4"/>
  <c r="E106" i="4"/>
  <c r="L111" i="4"/>
  <c r="K111" i="4"/>
  <c r="M111" i="4"/>
  <c r="J112" i="4" s="1"/>
  <c r="M112" i="4" l="1"/>
  <c r="J113" i="4" s="1"/>
  <c r="K112" i="4"/>
  <c r="L112" i="4"/>
  <c r="D137" i="3"/>
  <c r="C138" i="3"/>
  <c r="D38" i="4"/>
  <c r="D16" i="4"/>
  <c r="D42" i="4"/>
  <c r="C152" i="3" s="1"/>
  <c r="C105" i="3"/>
  <c r="C108" i="3" s="1"/>
  <c r="G107" i="4"/>
  <c r="D108" i="4" s="1"/>
  <c r="E107" i="4"/>
  <c r="F107" i="4"/>
  <c r="F177" i="4"/>
  <c r="E177" i="4"/>
  <c r="G177" i="4"/>
  <c r="D178" i="4" s="1"/>
  <c r="L171" i="4"/>
  <c r="K171" i="4"/>
  <c r="E219" i="4"/>
  <c r="G219" i="4"/>
  <c r="D220" i="4" s="1"/>
  <c r="F219" i="4"/>
  <c r="F61" i="4" l="1"/>
  <c r="E3" i="4"/>
  <c r="E6" i="4" s="1"/>
  <c r="C149" i="3"/>
  <c r="M171" i="4"/>
  <c r="J172" i="4" s="1"/>
  <c r="G178" i="4"/>
  <c r="D179" i="4" s="1"/>
  <c r="E178" i="4"/>
  <c r="F178" i="4"/>
  <c r="D36" i="4"/>
  <c r="D39" i="4" s="1"/>
  <c r="D40" i="4" s="1"/>
  <c r="D43" i="4" s="1"/>
  <c r="F67" i="4"/>
  <c r="D138" i="3"/>
  <c r="K113" i="4"/>
  <c r="K114" i="4" s="1"/>
  <c r="M113" i="4"/>
  <c r="L113" i="4"/>
  <c r="L114" i="4" s="1"/>
  <c r="G108" i="4"/>
  <c r="F108" i="4"/>
  <c r="F109" i="4" s="1"/>
  <c r="F152" i="4" s="1"/>
  <c r="K74" i="4" s="1"/>
  <c r="E108" i="4"/>
  <c r="E109" i="4" s="1"/>
  <c r="E152" i="4" s="1"/>
  <c r="F31" i="4" s="1"/>
  <c r="G220" i="4"/>
  <c r="D221" i="4" s="1"/>
  <c r="F220" i="4"/>
  <c r="E220" i="4"/>
  <c r="M114" i="4" l="1"/>
  <c r="J115" i="4"/>
  <c r="G221" i="4"/>
  <c r="D222" i="4" s="1"/>
  <c r="F221" i="4"/>
  <c r="E221" i="4"/>
  <c r="E61" i="4"/>
  <c r="F69" i="4"/>
  <c r="D110" i="4"/>
  <c r="G109" i="4"/>
  <c r="G152" i="4" s="1"/>
  <c r="G153" i="3" s="1"/>
  <c r="J63" i="4" s="1"/>
  <c r="G179" i="4"/>
  <c r="F179" i="4"/>
  <c r="F180" i="4" s="1"/>
  <c r="E179" i="4"/>
  <c r="E180" i="4" s="1"/>
  <c r="F57" i="4"/>
  <c r="C150" i="3"/>
  <c r="G67" i="4"/>
  <c r="L172" i="4"/>
  <c r="K172" i="4"/>
  <c r="E222" i="4" l="1"/>
  <c r="E223" i="4" s="1"/>
  <c r="F222" i="4"/>
  <c r="F223" i="4" s="1"/>
  <c r="G222" i="4"/>
  <c r="M115" i="4"/>
  <c r="J116" i="4" s="1"/>
  <c r="L115" i="4"/>
  <c r="K115" i="4"/>
  <c r="K63" i="4"/>
  <c r="G57" i="4"/>
  <c r="G58" i="4" s="1"/>
  <c r="F58" i="4"/>
  <c r="F70" i="4" s="1"/>
  <c r="G180" i="4"/>
  <c r="D181" i="4"/>
  <c r="F110" i="4"/>
  <c r="E110" i="4"/>
  <c r="G110" i="4"/>
  <c r="D111" i="4" s="1"/>
  <c r="G61" i="4"/>
  <c r="G69" i="4" s="1"/>
  <c r="E69" i="4"/>
  <c r="E70" i="4" s="1"/>
  <c r="M172" i="4"/>
  <c r="J173" i="4" s="1"/>
  <c r="G70" i="4" l="1"/>
  <c r="G72" i="4" s="1"/>
  <c r="K116" i="4"/>
  <c r="M116" i="4"/>
  <c r="J117" i="4" s="1"/>
  <c r="L116" i="4"/>
  <c r="D224" i="4"/>
  <c r="G223" i="4"/>
  <c r="G181" i="4"/>
  <c r="D182" i="4" s="1"/>
  <c r="E181" i="4"/>
  <c r="F181" i="4"/>
  <c r="G111" i="4"/>
  <c r="D112" i="4" s="1"/>
  <c r="E111" i="4"/>
  <c r="F111" i="4"/>
  <c r="L173" i="4"/>
  <c r="K173" i="4" s="1"/>
  <c r="G73" i="4" l="1"/>
  <c r="G75" i="4"/>
  <c r="C139" i="3" s="1"/>
  <c r="D139" i="3" s="1"/>
  <c r="M173" i="4"/>
  <c r="J174" i="4" s="1"/>
  <c r="G224" i="4"/>
  <c r="D225" i="4" s="1"/>
  <c r="F224" i="4"/>
  <c r="E224" i="4"/>
  <c r="M117" i="4"/>
  <c r="J118" i="4" s="1"/>
  <c r="L117" i="4"/>
  <c r="K117" i="4"/>
  <c r="E112" i="4"/>
  <c r="F112" i="4"/>
  <c r="G112" i="4"/>
  <c r="D113" i="4" s="1"/>
  <c r="G182" i="4"/>
  <c r="D183" i="4" s="1"/>
  <c r="F182" i="4"/>
  <c r="E182" i="4"/>
  <c r="J32" i="4" l="1"/>
  <c r="M32" i="4" s="1"/>
  <c r="G225" i="4"/>
  <c r="D226" i="4" s="1"/>
  <c r="F225" i="4"/>
  <c r="E225" i="4"/>
  <c r="G183" i="4"/>
  <c r="D184" i="4" s="1"/>
  <c r="F183" i="4"/>
  <c r="E183" i="4"/>
  <c r="M118" i="4"/>
  <c r="L118" i="4"/>
  <c r="L119" i="4" s="1"/>
  <c r="K118" i="4"/>
  <c r="K119" i="4" s="1"/>
  <c r="L174" i="4"/>
  <c r="L175" i="4" s="1"/>
  <c r="I218" i="4" s="1"/>
  <c r="F113" i="4"/>
  <c r="F114" i="4" s="1"/>
  <c r="L142" i="4" s="1"/>
  <c r="M74" i="4" s="1"/>
  <c r="E113" i="4"/>
  <c r="E114" i="4" s="1"/>
  <c r="K142" i="4" s="1"/>
  <c r="G31" i="4" s="1"/>
  <c r="G113" i="4"/>
  <c r="L32" i="4" l="1"/>
  <c r="N32" i="4" s="1"/>
  <c r="C140" i="3" s="1"/>
  <c r="D140" i="3" s="1"/>
  <c r="K174" i="4"/>
  <c r="K175" i="4" s="1"/>
  <c r="H218" i="4" s="1"/>
  <c r="J218" i="4" s="1"/>
  <c r="E135" i="3" s="1"/>
  <c r="E137" i="3" s="1"/>
  <c r="G184" i="4"/>
  <c r="F184" i="4"/>
  <c r="F185" i="4" s="1"/>
  <c r="E184" i="4"/>
  <c r="E185" i="4" s="1"/>
  <c r="D115" i="4"/>
  <c r="G114" i="4"/>
  <c r="M142" i="4" s="1"/>
  <c r="I153" i="3" s="1"/>
  <c r="L63" i="4" s="1"/>
  <c r="M63" i="4" s="1"/>
  <c r="F226" i="4"/>
  <c r="E226" i="4"/>
  <c r="G226" i="4"/>
  <c r="D227" i="4" s="1"/>
  <c r="J120" i="4"/>
  <c r="M119" i="4"/>
  <c r="E10" i="4" l="1"/>
  <c r="E12" i="4" s="1"/>
  <c r="E14" i="4" s="1"/>
  <c r="F135" i="3"/>
  <c r="M174" i="4"/>
  <c r="C141" i="3"/>
  <c r="E115" i="4"/>
  <c r="G115" i="4"/>
  <c r="D116" i="4" s="1"/>
  <c r="F115" i="4"/>
  <c r="D141" i="3"/>
  <c r="J40" i="4"/>
  <c r="E158" i="3" s="1"/>
  <c r="H68" i="4" s="1"/>
  <c r="C157" i="3"/>
  <c r="C159" i="3" s="1"/>
  <c r="C160" i="3" s="1"/>
  <c r="M120" i="4"/>
  <c r="J121" i="4" s="1"/>
  <c r="K120" i="4"/>
  <c r="L120" i="4"/>
  <c r="F137" i="3"/>
  <c r="E138" i="3"/>
  <c r="G185" i="4"/>
  <c r="D186" i="4"/>
  <c r="E42" i="4"/>
  <c r="E152" i="3" s="1"/>
  <c r="E16" i="4"/>
  <c r="D105" i="3"/>
  <c r="D108" i="3" s="1"/>
  <c r="A108" i="3" s="1"/>
  <c r="E38" i="4"/>
  <c r="J176" i="4"/>
  <c r="M175" i="4"/>
  <c r="G227" i="4"/>
  <c r="F227" i="4"/>
  <c r="F228" i="4" s="1"/>
  <c r="E227" i="4"/>
  <c r="E228" i="4" s="1"/>
  <c r="H67" i="4" l="1"/>
  <c r="E36" i="4"/>
  <c r="E39" i="4" s="1"/>
  <c r="E40" i="4" s="1"/>
  <c r="E43" i="4" s="1"/>
  <c r="F138" i="3"/>
  <c r="D229" i="4"/>
  <c r="G228" i="4"/>
  <c r="L121" i="4"/>
  <c r="K121" i="4"/>
  <c r="M121" i="4"/>
  <c r="J122" i="4" s="1"/>
  <c r="I68" i="4"/>
  <c r="F3" i="4"/>
  <c r="F6" i="4" s="1"/>
  <c r="E149" i="3"/>
  <c r="H61" i="4"/>
  <c r="G116" i="4"/>
  <c r="D117" i="4" s="1"/>
  <c r="F116" i="4"/>
  <c r="E116" i="4"/>
  <c r="G186" i="4"/>
  <c r="D187" i="4" s="1"/>
  <c r="E186" i="4"/>
  <c r="F186" i="4"/>
  <c r="L176" i="4"/>
  <c r="K176" i="4" s="1"/>
  <c r="G117" i="4" l="1"/>
  <c r="D118" i="4" s="1"/>
  <c r="F117" i="4"/>
  <c r="E117" i="4"/>
  <c r="G229" i="4"/>
  <c r="D230" i="4" s="1"/>
  <c r="F229" i="4"/>
  <c r="E229" i="4"/>
  <c r="H69" i="4"/>
  <c r="I61" i="4"/>
  <c r="H57" i="4"/>
  <c r="E150" i="3"/>
  <c r="L122" i="4"/>
  <c r="K122" i="4"/>
  <c r="M122" i="4"/>
  <c r="J123" i="4" s="1"/>
  <c r="I67" i="4"/>
  <c r="M176" i="4"/>
  <c r="J177" i="4" s="1"/>
  <c r="G187" i="4"/>
  <c r="D188" i="4" s="1"/>
  <c r="F187" i="4"/>
  <c r="E187" i="4"/>
  <c r="L177" i="4" l="1"/>
  <c r="K177" i="4" s="1"/>
  <c r="I69" i="4"/>
  <c r="H58" i="4"/>
  <c r="H70" i="4" s="1"/>
  <c r="I57" i="4"/>
  <c r="I58" i="4" s="1"/>
  <c r="M123" i="4"/>
  <c r="K123" i="4"/>
  <c r="K124" i="4" s="1"/>
  <c r="L123" i="4"/>
  <c r="L124" i="4" s="1"/>
  <c r="F188" i="4"/>
  <c r="E188" i="4"/>
  <c r="G188" i="4"/>
  <c r="D189" i="4" s="1"/>
  <c r="E230" i="4"/>
  <c r="G230" i="4"/>
  <c r="D231" i="4" s="1"/>
  <c r="F230" i="4"/>
  <c r="G118" i="4"/>
  <c r="F118" i="4"/>
  <c r="F119" i="4" s="1"/>
  <c r="L147" i="4" s="1"/>
  <c r="E118" i="4"/>
  <c r="E119" i="4" s="1"/>
  <c r="K147" i="4" s="1"/>
  <c r="E231" i="4" l="1"/>
  <c r="G231" i="4"/>
  <c r="D232" i="4" s="1"/>
  <c r="F231" i="4"/>
  <c r="J125" i="4"/>
  <c r="M124" i="4"/>
  <c r="M177" i="4"/>
  <c r="J178" i="4" s="1"/>
  <c r="I70" i="4"/>
  <c r="G189" i="4"/>
  <c r="E189" i="4"/>
  <c r="E190" i="4" s="1"/>
  <c r="F189" i="4"/>
  <c r="F190" i="4" s="1"/>
  <c r="G119" i="4"/>
  <c r="M147" i="4" s="1"/>
  <c r="D120" i="4"/>
  <c r="M125" i="4" l="1"/>
  <c r="J126" i="4" s="1"/>
  <c r="L125" i="4"/>
  <c r="K125" i="4"/>
  <c r="F120" i="4"/>
  <c r="G120" i="4"/>
  <c r="D121" i="4" s="1"/>
  <c r="E120" i="4"/>
  <c r="G232" i="4"/>
  <c r="F232" i="4"/>
  <c r="F233" i="4" s="1"/>
  <c r="E232" i="4"/>
  <c r="E233" i="4" s="1"/>
  <c r="G190" i="4"/>
  <c r="D191" i="4"/>
  <c r="I72" i="4"/>
  <c r="I73" i="4"/>
  <c r="L178" i="4"/>
  <c r="K178" i="4" s="1"/>
  <c r="M178" i="4" s="1"/>
  <c r="J179" i="4" s="1"/>
  <c r="G233" i="4" l="1"/>
  <c r="D234" i="4"/>
  <c r="F121" i="4"/>
  <c r="E121" i="4"/>
  <c r="G121" i="4"/>
  <c r="D122" i="4" s="1"/>
  <c r="M126" i="4"/>
  <c r="J127" i="4" s="1"/>
  <c r="L126" i="4"/>
  <c r="K126" i="4"/>
  <c r="L179" i="4"/>
  <c r="K179" i="4" s="1"/>
  <c r="I75" i="4"/>
  <c r="E139" i="3" s="1"/>
  <c r="G191" i="4"/>
  <c r="D192" i="4" s="1"/>
  <c r="F191" i="4"/>
  <c r="E191" i="4"/>
  <c r="L180" i="4" l="1"/>
  <c r="I223" i="4" s="1"/>
  <c r="M179" i="4"/>
  <c r="K180" i="4"/>
  <c r="H223" i="4" s="1"/>
  <c r="G122" i="4"/>
  <c r="D123" i="4" s="1"/>
  <c r="E122" i="4"/>
  <c r="F122" i="4"/>
  <c r="F234" i="4"/>
  <c r="G234" i="4"/>
  <c r="D235" i="4" s="1"/>
  <c r="E234" i="4"/>
  <c r="F139" i="3"/>
  <c r="J33" i="4"/>
  <c r="G192" i="4"/>
  <c r="D193" i="4" s="1"/>
  <c r="E192" i="4"/>
  <c r="F192" i="4"/>
  <c r="M127" i="4"/>
  <c r="J128" i="4" s="1"/>
  <c r="L127" i="4"/>
  <c r="K127" i="4"/>
  <c r="J223" i="4" l="1"/>
  <c r="G135" i="3" s="1"/>
  <c r="F10" i="4" s="1"/>
  <c r="F12" i="4" s="1"/>
  <c r="F14" i="4" s="1"/>
  <c r="G235" i="4"/>
  <c r="D236" i="4" s="1"/>
  <c r="F235" i="4"/>
  <c r="E235" i="4"/>
  <c r="M128" i="4"/>
  <c r="M129" i="4" s="1"/>
  <c r="L128" i="4"/>
  <c r="L129" i="4" s="1"/>
  <c r="K128" i="4"/>
  <c r="K129" i="4" s="1"/>
  <c r="G123" i="4"/>
  <c r="E123" i="4"/>
  <c r="E124" i="4" s="1"/>
  <c r="K152" i="4" s="1"/>
  <c r="F123" i="4"/>
  <c r="F124" i="4" s="1"/>
  <c r="L152" i="4" s="1"/>
  <c r="G193" i="4"/>
  <c r="D194" i="4" s="1"/>
  <c r="F193" i="4"/>
  <c r="E193" i="4"/>
  <c r="M33" i="4"/>
  <c r="L33" i="4"/>
  <c r="N33" i="4" s="1"/>
  <c r="E140" i="3" s="1"/>
  <c r="M180" i="4"/>
  <c r="J181" i="4"/>
  <c r="H135" i="3" l="1"/>
  <c r="G137" i="3"/>
  <c r="H137" i="3" s="1"/>
  <c r="G124" i="4"/>
  <c r="M152" i="4" s="1"/>
  <c r="D125" i="4"/>
  <c r="G194" i="4"/>
  <c r="F194" i="4"/>
  <c r="F195" i="4" s="1"/>
  <c r="E194" i="4"/>
  <c r="E195" i="4" s="1"/>
  <c r="E236" i="4"/>
  <c r="G236" i="4"/>
  <c r="D237" i="4" s="1"/>
  <c r="F236" i="4"/>
  <c r="F42" i="4"/>
  <c r="G152" i="3" s="1"/>
  <c r="F16" i="4"/>
  <c r="E105" i="3"/>
  <c r="F38" i="4"/>
  <c r="F140" i="3"/>
  <c r="E141" i="3"/>
  <c r="L181" i="4"/>
  <c r="G138" i="3" l="1"/>
  <c r="F141" i="3"/>
  <c r="E157" i="3"/>
  <c r="E159" i="3" s="1"/>
  <c r="E160" i="3" s="1"/>
  <c r="J41" i="4"/>
  <c r="G158" i="3" s="1"/>
  <c r="D196" i="4"/>
  <c r="G195" i="4"/>
  <c r="J67" i="4"/>
  <c r="J68" i="4"/>
  <c r="F36" i="4"/>
  <c r="F39" i="4" s="1"/>
  <c r="F40" i="4" s="1"/>
  <c r="F43" i="4" s="1"/>
  <c r="H138" i="3"/>
  <c r="K181" i="4"/>
  <c r="G149" i="3"/>
  <c r="G3" i="4"/>
  <c r="G6" i="4" s="1"/>
  <c r="G125" i="4"/>
  <c r="D126" i="4" s="1"/>
  <c r="F125" i="4"/>
  <c r="E125" i="4"/>
  <c r="J61" i="4"/>
  <c r="F237" i="4"/>
  <c r="F238" i="4" s="1"/>
  <c r="G237" i="4"/>
  <c r="E237" i="4"/>
  <c r="E238" i="4" s="1"/>
  <c r="J69" i="4" l="1"/>
  <c r="K61" i="4"/>
  <c r="G126" i="4"/>
  <c r="D127" i="4" s="1"/>
  <c r="F126" i="4"/>
  <c r="E126" i="4"/>
  <c r="F196" i="4"/>
  <c r="E196" i="4"/>
  <c r="G196" i="4"/>
  <c r="D197" i="4" s="1"/>
  <c r="K67" i="4"/>
  <c r="K68" i="4"/>
  <c r="J57" i="4"/>
  <c r="G150" i="3"/>
  <c r="G238" i="4"/>
  <c r="D239" i="4"/>
  <c r="M181" i="4"/>
  <c r="J182" i="4" s="1"/>
  <c r="G239" i="4" l="1"/>
  <c r="D240" i="4" s="1"/>
  <c r="F239" i="4"/>
  <c r="E239" i="4"/>
  <c r="L182" i="4"/>
  <c r="J58" i="4"/>
  <c r="K57" i="4"/>
  <c r="K58" i="4" s="1"/>
  <c r="G127" i="4"/>
  <c r="D128" i="4" s="1"/>
  <c r="F127" i="4"/>
  <c r="E127" i="4"/>
  <c r="K69" i="4"/>
  <c r="J70" i="4"/>
  <c r="G197" i="4"/>
  <c r="D198" i="4" s="1"/>
  <c r="E197" i="4"/>
  <c r="F197" i="4"/>
  <c r="K182" i="4" l="1"/>
  <c r="G198" i="4"/>
  <c r="D199" i="4" s="1"/>
  <c r="F198" i="4"/>
  <c r="E198" i="4"/>
  <c r="K70" i="4"/>
  <c r="G240" i="4"/>
  <c r="D241" i="4" s="1"/>
  <c r="F240" i="4"/>
  <c r="E240" i="4"/>
  <c r="G128" i="4"/>
  <c r="G129" i="4" s="1"/>
  <c r="M157" i="4" s="1"/>
  <c r="E128" i="4"/>
  <c r="E129" i="4" s="1"/>
  <c r="K157" i="4" s="1"/>
  <c r="F128" i="4"/>
  <c r="F129" i="4" s="1"/>
  <c r="L157" i="4" s="1"/>
  <c r="E241" i="4" l="1"/>
  <c r="G241" i="4"/>
  <c r="D242" i="4" s="1"/>
  <c r="F241" i="4"/>
  <c r="K72" i="4"/>
  <c r="K73" i="4"/>
  <c r="F199" i="4"/>
  <c r="F200" i="4" s="1"/>
  <c r="E199" i="4"/>
  <c r="E200" i="4" s="1"/>
  <c r="G199" i="4"/>
  <c r="G200" i="4" s="1"/>
  <c r="M182" i="4"/>
  <c r="J183" i="4" s="1"/>
  <c r="L183" i="4" l="1"/>
  <c r="K183" i="4"/>
  <c r="K75" i="4"/>
  <c r="G139" i="3" s="1"/>
  <c r="G242" i="4"/>
  <c r="G243" i="4" s="1"/>
  <c r="F242" i="4"/>
  <c r="F243" i="4" s="1"/>
  <c r="E242" i="4"/>
  <c r="E243" i="4" s="1"/>
  <c r="H139" i="3" l="1"/>
  <c r="J34" i="4"/>
  <c r="M183" i="4"/>
  <c r="J184" i="4" s="1"/>
  <c r="L184" i="4" l="1"/>
  <c r="L185" i="4" s="1"/>
  <c r="I228" i="4" s="1"/>
  <c r="M34" i="4"/>
  <c r="L34" i="4"/>
  <c r="N34" i="4" s="1"/>
  <c r="G140" i="3" s="1"/>
  <c r="H140" i="3" l="1"/>
  <c r="G141" i="3"/>
  <c r="K184" i="4"/>
  <c r="J42" i="4" l="1"/>
  <c r="I158" i="3" s="1"/>
  <c r="G157" i="3"/>
  <c r="G159" i="3" s="1"/>
  <c r="G160" i="3" s="1"/>
  <c r="H141" i="3"/>
  <c r="K185" i="4"/>
  <c r="H228" i="4" s="1"/>
  <c r="J228" i="4" s="1"/>
  <c r="I135" i="3" s="1"/>
  <c r="M184" i="4"/>
  <c r="J186" i="4" l="1"/>
  <c r="M185" i="4"/>
  <c r="G10" i="4"/>
  <c r="G12" i="4" s="1"/>
  <c r="G14" i="4" s="1"/>
  <c r="J135" i="3"/>
  <c r="I137" i="3"/>
  <c r="J137" i="3" l="1"/>
  <c r="I138" i="3"/>
  <c r="G42" i="4"/>
  <c r="I152" i="3" s="1"/>
  <c r="G16" i="4"/>
  <c r="I149" i="3" s="1"/>
  <c r="F105" i="3"/>
  <c r="G38" i="4"/>
  <c r="L186" i="4"/>
  <c r="K186" i="4" s="1"/>
  <c r="L57" i="4" l="1"/>
  <c r="I150" i="3"/>
  <c r="M186" i="4"/>
  <c r="J187" i="4" s="1"/>
  <c r="L61" i="4"/>
  <c r="L68" i="4"/>
  <c r="M68" i="4" s="1"/>
  <c r="L67" i="4"/>
  <c r="M67" i="4" s="1"/>
  <c r="G36" i="4"/>
  <c r="G39" i="4" s="1"/>
  <c r="G40" i="4" s="1"/>
  <c r="G43" i="4" s="1"/>
  <c r="J138" i="3"/>
  <c r="L69" i="4" l="1"/>
  <c r="M61" i="4"/>
  <c r="M69" i="4" s="1"/>
  <c r="L187" i="4"/>
  <c r="L58" i="4"/>
  <c r="M57" i="4"/>
  <c r="M58" i="4" s="1"/>
  <c r="K187" i="4" l="1"/>
  <c r="M70" i="4"/>
  <c r="L70" i="4"/>
  <c r="M187" i="4" l="1"/>
  <c r="J188" i="4" s="1"/>
  <c r="M72" i="4"/>
  <c r="M73" i="4"/>
  <c r="M75" i="4" l="1"/>
  <c r="I139" i="3" s="1"/>
  <c r="J139" i="3" s="1"/>
  <c r="L188" i="4"/>
  <c r="K188" i="4"/>
  <c r="J35" i="4" l="1"/>
  <c r="L35" i="4" s="1"/>
  <c r="M188" i="4"/>
  <c r="J189" i="4" s="1"/>
  <c r="M35" i="4" l="1"/>
  <c r="N35" i="4" s="1"/>
  <c r="I140" i="3" s="1"/>
  <c r="L189" i="4"/>
  <c r="L190" i="4" s="1"/>
  <c r="I233" i="4" s="1"/>
  <c r="K189" i="4" l="1"/>
  <c r="J140" i="3"/>
  <c r="I141" i="3"/>
  <c r="K190" i="4" l="1"/>
  <c r="H233" i="4" s="1"/>
  <c r="J233" i="4" s="1"/>
  <c r="M189" i="4"/>
  <c r="I157" i="3"/>
  <c r="I159" i="3" s="1"/>
  <c r="I160" i="3" s="1"/>
  <c r="J141" i="3"/>
  <c r="J43" i="4" s="1"/>
  <c r="J191" i="4" l="1"/>
  <c r="M190" i="4"/>
  <c r="L191" i="4" l="1"/>
  <c r="K191" i="4"/>
  <c r="M191" i="4" s="1"/>
  <c r="J192" i="4" s="1"/>
  <c r="L192" i="4" s="1"/>
  <c r="K192" i="4" l="1"/>
  <c r="M192" i="4" l="1"/>
  <c r="J193" i="4" s="1"/>
  <c r="L193" i="4" l="1"/>
  <c r="K193" i="4" l="1"/>
  <c r="M193" i="4" l="1"/>
  <c r="J194" i="4" s="1"/>
  <c r="L194" i="4" l="1"/>
  <c r="L195" i="4" s="1"/>
  <c r="I238" i="4" s="1"/>
  <c r="K194" i="4"/>
  <c r="K195" i="4" s="1"/>
  <c r="H238" i="4" s="1"/>
  <c r="J238" i="4" s="1"/>
  <c r="M194" i="4" l="1"/>
  <c r="M195" i="4" s="1"/>
  <c r="J196" i="4" l="1"/>
  <c r="L196" i="4" s="1"/>
  <c r="K196" i="4" l="1"/>
  <c r="M196" i="4" l="1"/>
  <c r="J197" i="4" s="1"/>
  <c r="L197" i="4" l="1"/>
  <c r="K197" i="4"/>
  <c r="M197" i="4" s="1"/>
  <c r="J198" i="4" s="1"/>
  <c r="L198" i="4" l="1"/>
  <c r="K198" i="4" s="1"/>
  <c r="M198" i="4" l="1"/>
  <c r="J199" i="4" s="1"/>
  <c r="L199" i="4" l="1"/>
  <c r="L200" i="4" s="1"/>
  <c r="I243" i="4" s="1"/>
  <c r="K199" i="4" l="1"/>
  <c r="K200" i="4" s="1"/>
  <c r="H243" i="4" s="1"/>
  <c r="J243" i="4" s="1"/>
  <c r="M199" i="4" l="1"/>
  <c r="M20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Revisione 2026</author>
  </authors>
  <commentList>
    <comment ref="B13" authorId="0" shapeId="0" xr:uid="{00000000-0006-0000-0000-000001000000}">
      <text>
        <r>
          <rPr>
            <sz val="10"/>
            <rFont val="Courier New"/>
            <family val="3"/>
          </rPr>
          <t>Fonte/ratio: Banca d’Italia — nuovi prestiti imprese. Valore utilizzato nel modello 2026.</t>
        </r>
      </text>
    </comment>
    <comment ref="B14" authorId="0" shapeId="0" xr:uid="{00000000-0006-0000-0000-000002000000}">
      <text>
        <r>
          <rPr>
            <sz val="10"/>
            <rFont val="Courier New"/>
            <family val="3"/>
          </rPr>
          <t>Fonte/ratio: Banca d’Italia — depositi. Valore utilizzato nel modello 2026.</t>
        </r>
      </text>
    </comment>
    <comment ref="B15" authorId="0" shapeId="0" xr:uid="{00000000-0006-0000-0000-000003000000}">
      <text>
        <r>
          <rPr>
            <sz val="10"/>
            <rFont val="Courier New"/>
            <family val="3"/>
          </rPr>
          <t>Fonte/ratio: ISTAT — luglio 2026, dato definitivo. Valore utilizzato nel modello 2026.</t>
        </r>
      </text>
    </comment>
    <comment ref="B16" authorId="0" shapeId="0" xr:uid="{00000000-0006-0000-0000-000004000000}">
      <text>
        <r>
          <rPr>
            <sz val="10"/>
            <rFont val="Courier New"/>
            <family val="3"/>
          </rPr>
          <t>Fonte/ratio: Aliquota ordinaria di riferimento. Valore utilizzato nel modello 2026.</t>
        </r>
      </text>
    </comment>
    <comment ref="B17" authorId="0" shapeId="0" xr:uid="{00000000-0006-0000-0000-000005000000}">
      <text>
        <r>
          <rPr>
            <sz val="10"/>
            <rFont val="Courier New"/>
            <family val="3"/>
          </rPr>
          <t>Fonte/ratio: Aliquota ordinaria di riferimento. Valore utilizzato nel modello 2026.</t>
        </r>
      </text>
    </comment>
    <comment ref="B18" authorId="0" shapeId="0" xr:uid="{00000000-0006-0000-0000-000006000000}">
      <text>
        <r>
          <rPr>
            <sz val="10"/>
            <rFont val="Courier New"/>
            <family val="3"/>
          </rPr>
          <t>Fonte/ratio: Da verificare per categoria merceologica. Valore utilizzato nel modello 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Dashboard 2026</author>
    <author>Revisione 2026</author>
  </authors>
  <commentList>
    <comment ref="E1" authorId="0" shapeId="0" xr:uid="{00000000-0006-0000-0200-000001000000}">
      <text>
        <r>
          <rPr>
            <sz val="10"/>
            <rFont val="Courier New"/>
            <family val="3"/>
          </rPr>
          <t>AGGIORNATO 2026. Valore originale: 2007-06-14 00:00:00. Vedi foglio 'AGGIORNAMENTO 2026'.</t>
        </r>
      </text>
    </comment>
    <comment ref="C2" authorId="1" shapeId="0" xr:uid="{00000000-0006-0000-0200-000002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3" authorId="1" shapeId="0" xr:uid="{00000000-0006-0000-0200-000003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3" authorId="1" shapeId="0" xr:uid="{00000000-0006-0000-0200-000004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F3" authorId="0" shapeId="0" xr:uid="{00000000-0006-0000-0200-000005000000}">
      <text>
        <r>
          <rPr>
            <sz val="10"/>
            <rFont val="Courier New"/>
            <family val="3"/>
          </rPr>
          <t>Aliquota IVA merceologica non modificata automaticamente: la corretta aliquota dipende dalla classificazione fiscale dei singoli prodotti/categorie. Verificare prima dell'uso operativo.</t>
        </r>
      </text>
    </comment>
    <comment ref="D4" authorId="2" shapeId="0" xr:uid="{00000000-0006-0000-0200-000006000000}">
      <text>
        <r>
          <rPr>
            <sz val="10"/>
            <rFont val="Courier New"/>
            <family val="3"/>
          </rPr>
          <t>PARAMETRO FISCALE — IVA ordinaria di riferimento: 22%. Le singole categorie merceologiche possono essere soggette ad aliquote differenti; verificare la classificazione fiscale effettiva.</t>
        </r>
      </text>
    </comment>
    <comment ref="E4" authorId="1" shapeId="0" xr:uid="{00000000-0006-0000-0200-000007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F4" authorId="0" shapeId="0" xr:uid="{00000000-0006-0000-0200-000008000000}">
      <text>
        <r>
          <rPr>
            <sz val="10"/>
            <rFont val="Courier New"/>
            <family val="3"/>
          </rPr>
          <t>Aliquota IVA merceologica non modificata automaticamente: la corretta aliquota dipende dalla classificazione fiscale dei singoli prodotti/categorie. Verificare prima dell'uso operativo.</t>
        </r>
      </text>
    </comment>
    <comment ref="D5" authorId="1" shapeId="0" xr:uid="{00000000-0006-0000-0200-000009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5" authorId="1" shapeId="0" xr:uid="{00000000-0006-0000-0200-00000A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F5" authorId="0" shapeId="0" xr:uid="{00000000-0006-0000-0200-00000B000000}">
      <text>
        <r>
          <rPr>
            <sz val="10"/>
            <rFont val="Courier New"/>
            <family val="3"/>
          </rPr>
          <t>Aliquota IVA merceologica non modificata automaticamente: la corretta aliquota dipende dalla classificazione fiscale dei singoli prodotti/categorie. Verificare prima dell'uso operativo.</t>
        </r>
      </text>
    </comment>
    <comment ref="D6" authorId="1" shapeId="0" xr:uid="{00000000-0006-0000-0200-00000C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6" authorId="1" shapeId="0" xr:uid="{00000000-0006-0000-0200-00000D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F6" authorId="0" shapeId="0" xr:uid="{00000000-0006-0000-0200-00000E000000}">
      <text>
        <r>
          <rPr>
            <sz val="10"/>
            <rFont val="Courier New"/>
            <family val="3"/>
          </rPr>
          <t>Aliquota IVA merceologica non modificata automaticamente: la corretta aliquota dipende dalla classificazione fiscale dei singoli prodotti/categorie. Verificare prima dell'uso operativo.</t>
        </r>
      </text>
    </comment>
    <comment ref="D7" authorId="1" shapeId="0" xr:uid="{00000000-0006-0000-0200-00000F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7" authorId="1" shapeId="0" xr:uid="{00000000-0006-0000-0200-000010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F7" authorId="0" shapeId="0" xr:uid="{00000000-0006-0000-0200-000011000000}">
      <text>
        <r>
          <rPr>
            <sz val="10"/>
            <rFont val="Courier New"/>
            <family val="3"/>
          </rPr>
          <t>Aliquota IVA merceologica non modificata automaticamente: la corretta aliquota dipende dalla classificazione fiscale dei singoli prodotti/categorie. Verificare prima dell'uso operativo.</t>
        </r>
      </text>
    </comment>
    <comment ref="C9" authorId="1" shapeId="0" xr:uid="{00000000-0006-0000-0200-000012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10" authorId="1" shapeId="0" xr:uid="{00000000-0006-0000-0200-000013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10" authorId="1" shapeId="0" xr:uid="{00000000-0006-0000-0200-000014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13" authorId="2" shapeId="0" xr:uid="{00000000-0006-0000-0200-000015000000}">
      <text>
        <r>
          <rPr>
            <sz val="10"/>
            <rFont val="Courier New"/>
            <family val="3"/>
          </rPr>
          <t>AGGIORNATO 2026 — Inflazione NIC italiana: +2,9% a luglio 2026, dato definitivo ISTAT pubblicato il 12 agosto 2026. Scelta effettuata per allineare il parametro all’ultimo dato disponibile.</t>
        </r>
      </text>
    </comment>
    <comment ref="C14" authorId="1" shapeId="0" xr:uid="{00000000-0006-0000-0200-000016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14" authorId="1" shapeId="0" xr:uid="{00000000-0006-0000-0200-000017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15" authorId="1" shapeId="0" xr:uid="{00000000-0006-0000-0200-000018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15" authorId="1" shapeId="0" xr:uid="{00000000-0006-0000-0200-000019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18" authorId="1" shapeId="0" xr:uid="{00000000-0006-0000-0200-00001A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21" authorId="1" shapeId="0" xr:uid="{00000000-0006-0000-0200-00001B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21" authorId="1" shapeId="0" xr:uid="{00000000-0006-0000-0200-00001C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22" authorId="1" shapeId="0" xr:uid="{00000000-0006-0000-0200-00001D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22" authorId="1" shapeId="0" xr:uid="{00000000-0006-0000-0200-00001E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23" authorId="1" shapeId="0" xr:uid="{00000000-0006-0000-0200-00001F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23" authorId="1" shapeId="0" xr:uid="{00000000-0006-0000-0200-000020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24" authorId="1" shapeId="0" xr:uid="{00000000-0006-0000-0200-000021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24" authorId="1" shapeId="0" xr:uid="{00000000-0006-0000-0200-000022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I24" authorId="1" shapeId="0" xr:uid="{00000000-0006-0000-0200-000023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28" authorId="1" shapeId="0" xr:uid="{00000000-0006-0000-0200-000024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F29" authorId="1" shapeId="0" xr:uid="{00000000-0006-0000-0200-000025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G29" authorId="1" shapeId="0" xr:uid="{00000000-0006-0000-0200-000026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G30" authorId="1" shapeId="0" xr:uid="{00000000-0006-0000-0200-000027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B31" authorId="1" shapeId="0" xr:uid="{00000000-0006-0000-0200-000028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G31" authorId="1" shapeId="0" xr:uid="{00000000-0006-0000-0200-000029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G32" authorId="1" shapeId="0" xr:uid="{00000000-0006-0000-0200-00002A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35" authorId="1" shapeId="0" xr:uid="{00000000-0006-0000-0200-00002B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B36" authorId="1" shapeId="0" xr:uid="{00000000-0006-0000-0200-00002C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36" authorId="1" shapeId="0" xr:uid="{00000000-0006-0000-0200-00002D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36" authorId="1" shapeId="0" xr:uid="{00000000-0006-0000-0200-00002E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36" authorId="1" shapeId="0" xr:uid="{00000000-0006-0000-0200-00002F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O36" authorId="1" shapeId="0" xr:uid="{00000000-0006-0000-0200-000030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P36" authorId="1" shapeId="0" xr:uid="{00000000-0006-0000-0200-000031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37" authorId="1" shapeId="0" xr:uid="{00000000-0006-0000-0200-000032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37" authorId="1" shapeId="0" xr:uid="{00000000-0006-0000-0200-000033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37" authorId="1" shapeId="0" xr:uid="{00000000-0006-0000-0200-000034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B38" authorId="1" shapeId="0" xr:uid="{00000000-0006-0000-0200-000035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38" authorId="1" shapeId="0" xr:uid="{00000000-0006-0000-0200-000036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43" authorId="2" shapeId="0" xr:uid="{00000000-0006-0000-0200-000037000000}">
      <text>
        <r>
          <rPr>
            <sz val="10"/>
            <rFont val="Courier New"/>
            <family val="3"/>
          </rPr>
          <t>AGGIORNATO 2026 — Inflazione NIC italiana: +2,9% a luglio 2026, dato definitivo ISTAT pubblicato il 12 agosto 2026. Scelta effettuata per allineare il parametro all’ultimo dato disponibile.</t>
        </r>
      </text>
    </comment>
    <comment ref="C44" authorId="1" shapeId="0" xr:uid="{00000000-0006-0000-0200-000038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44" authorId="1" shapeId="0" xr:uid="{00000000-0006-0000-0200-000039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E44" authorId="1" shapeId="0" xr:uid="{00000000-0006-0000-0200-00003A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F44" authorId="1" shapeId="0" xr:uid="{00000000-0006-0000-0200-00003B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45" authorId="1" shapeId="0" xr:uid="{00000000-0006-0000-0200-00003C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46" authorId="1" shapeId="0" xr:uid="{00000000-0006-0000-0200-00003D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47" authorId="1" shapeId="0" xr:uid="{00000000-0006-0000-0200-00003E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48" authorId="1" shapeId="0" xr:uid="{00000000-0006-0000-0200-00003F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49" authorId="2" shapeId="0" xr:uid="{00000000-0006-0000-0200-000040000000}">
      <text>
        <r>
          <rPr>
            <sz val="10"/>
            <rFont val="Courier New"/>
            <family val="3"/>
          </rPr>
          <t>AGGIORNATO 2026 — Tasso di riferimento per il costo del finanziamento. Benchmark: tasso sui nuovi prestiti alle società non finanziarie fino a 1 milione di euro, Banca d’Italia (maggio 2026). È un benchmark di modello: il tasso contrattuale reale dipende da durata, garanzie, merito creditizio e spread.</t>
        </r>
      </text>
    </comment>
    <comment ref="C50" authorId="2" shapeId="0" xr:uid="{00000000-0006-0000-0200-000041000000}">
      <text>
        <r>
          <rPr>
            <sz val="10"/>
            <rFont val="Courier New"/>
            <family val="3"/>
          </rPr>
          <t>AGGIORNATO 2026 — Riferimento per la remunerazione della liquidità/depositi. Fonte: Banca d’Italia (dato 2026). Utilizzato come benchmark nel modello, non come proposta bancaria.</t>
        </r>
      </text>
    </comment>
    <comment ref="C51" authorId="2" shapeId="0" xr:uid="{00000000-0006-0000-0200-000042000000}">
      <text>
        <r>
          <rPr>
            <sz val="10"/>
            <rFont val="Courier New"/>
            <family val="3"/>
          </rPr>
          <t>AGGIORNATO 2026 — Aliquota IRAP ordinaria di riferimento: 3,9%. L’aliquota effettiva può dipendere dalla Regione e dalla posizione fiscale dell’impresa.</t>
        </r>
      </text>
    </comment>
    <comment ref="C52" authorId="2" shapeId="0" xr:uid="{00000000-0006-0000-0200-000043000000}">
      <text>
        <r>
          <rPr>
            <sz val="10"/>
            <rFont val="Courier New"/>
            <family val="3"/>
          </rPr>
          <t>AGGIORNATO 2026 — Aliquota ordinaria IRES di riferimento: 24%. Eventuali regimi, agevolazioni o maggiorazioni specifiche non sono rappresentati automaticamente nel modello.</t>
        </r>
      </text>
    </comment>
    <comment ref="C53" authorId="1" shapeId="0" xr:uid="{00000000-0006-0000-0200-000044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54" authorId="1" shapeId="0" xr:uid="{00000000-0006-0000-0200-000045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55" authorId="1" shapeId="0" xr:uid="{00000000-0006-0000-0200-000046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56" authorId="1" shapeId="0" xr:uid="{00000000-0006-0000-0200-000047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B59" authorId="1" shapeId="0" xr:uid="{00000000-0006-0000-0200-000048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62" authorId="1" shapeId="0" xr:uid="{00000000-0006-0000-0200-000049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64" authorId="1" shapeId="0" xr:uid="{00000000-0006-0000-0200-00004A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67" authorId="1" shapeId="0" xr:uid="{00000000-0006-0000-0200-00004B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69" authorId="1" shapeId="0" xr:uid="{00000000-0006-0000-0200-00004C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74" authorId="1" shapeId="0" xr:uid="{00000000-0006-0000-0200-00004D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76" authorId="1" shapeId="0" xr:uid="{00000000-0006-0000-0200-00004E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C77" authorId="1" shapeId="0" xr:uid="{00000000-0006-0000-0200-00004F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B83" authorId="2" shapeId="0" xr:uid="{00000000-0006-0000-0200-000050000000}">
      <text>
        <r>
          <rPr>
            <sz val="10"/>
            <rFont val="Courier New"/>
            <family val="3"/>
          </rPr>
          <t>PARAMETRO FISCALE — IVA ordinaria di riferimento: 22%. Le singole categorie merceologiche possono essere soggette ad aliquote differenti; verificare la classificazione fiscale effettiva.</t>
        </r>
      </text>
    </comment>
    <comment ref="B88" authorId="1" shapeId="0" xr:uid="{00000000-0006-0000-0200-000051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  <comment ref="D93" authorId="2" shapeId="0" xr:uid="{00000000-0006-0000-0200-000052000000}">
      <text>
        <r>
          <rPr>
            <sz val="10"/>
            <rFont val="Courier New"/>
            <family val="3"/>
          </rPr>
          <t>AGGIORNATO 2026 — Tasso di riferimento per il costo del finanziamento. Benchmark: tasso sui nuovi prestiti alle società non finanziarie fino a 1 milione di euro, Banca d’Italia (maggio 2026). È un benchmark di modello: il tasso contrattuale reale dipende da durata, garanzie, merito creditizio e spread.</t>
        </r>
      </text>
    </comment>
    <comment ref="D94" authorId="2" shapeId="0" xr:uid="{00000000-0006-0000-0200-000053000000}">
      <text>
        <r>
          <rPr>
            <sz val="10"/>
            <rFont val="Courier New"/>
            <family val="3"/>
          </rPr>
          <t>AGGIORNATO 2026 — Tasso di riferimento per il costo del finanziamento. Benchmark: tasso sui nuovi prestiti alle società non finanziarie fino a 1 milione di euro, Banca d’Italia (maggio 2026). È un benchmark di modello: il tasso contrattuale reale dipende da durata, garanzie, merito creditizio e spread.</t>
        </r>
      </text>
    </comment>
    <comment ref="D95" authorId="2" shapeId="0" xr:uid="{00000000-0006-0000-0200-000054000000}">
      <text>
        <r>
          <rPr>
            <sz val="10"/>
            <rFont val="Courier New"/>
            <family val="3"/>
          </rPr>
          <t>AGGIORNATO 2026 — Tasso di riferimento per il costo del finanziamento. Benchmark: tasso sui nuovi prestiti alle società non finanziarie fino a 1 milione di euro, Banca d’Italia (maggio 2026). È un benchmark di modello: il tasso contrattuale reale dipende da durata, garanzie, merito creditizio e spread.</t>
        </r>
      </text>
    </comment>
    <comment ref="D97" authorId="2" shapeId="0" xr:uid="{00000000-0006-0000-0200-000055000000}">
      <text>
        <r>
          <rPr>
            <sz val="10"/>
            <rFont val="Courier New"/>
            <family val="3"/>
          </rPr>
          <t>AGGIORNATO 2026 — Tasso di riferimento per il costo del finanziamento. Benchmark: tasso sui nuovi prestiti alle società non finanziarie fino a 1 milione di euro, Banca d’Italia (maggio 2026). È un benchmark di modello: il tasso contrattuale reale dipende da durata, garanzie, merito creditizio e spread.</t>
        </r>
      </text>
    </comment>
    <comment ref="D98" authorId="2" shapeId="0" xr:uid="{00000000-0006-0000-0200-000056000000}">
      <text>
        <r>
          <rPr>
            <sz val="10"/>
            <rFont val="Courier New"/>
            <family val="3"/>
          </rPr>
          <t>AGGIORNATO 2026 — Tasso di riferimento per il costo del finanziamento. Benchmark: tasso sui nuovi prestiti alle società non finanziarie fino a 1 milione di euro, Banca d’Italia (maggio 2026). È un benchmark di modello: il tasso contrattuale reale dipende da durata, garanzie, merito creditizio e spread.</t>
        </r>
      </text>
    </comment>
    <comment ref="C100" authorId="1" shapeId="0" xr:uid="{00000000-0006-0000-0200-000057000000}">
      <text>
        <r>
          <rPr>
            <sz val="10"/>
            <rFont val="Courier New"/>
            <family val="3"/>
          </rPr>
          <t>CELLA DA ALIMENTARE — Inserisci o aggiorna qui il dato utilizzato dal modello. Le formule collegate elaborano automaticamente il risultato.</t>
        </r>
      </text>
    </comment>
  </commentList>
</comments>
</file>

<file path=xl/sharedStrings.xml><?xml version="1.0" encoding="utf-8"?>
<sst xmlns="http://schemas.openxmlformats.org/spreadsheetml/2006/main" count="717" uniqueCount="468">
  <si>
    <t>APRI 2026 — DASHBOARD ECONOMICO-FINANZIARIA</t>
  </si>
  <si>
    <t>Modello aggiornato • Revisione finanziaria • Input → Elaborazione → Risultati</t>
  </si>
  <si>
    <t>INPUT UTENTE</t>
  </si>
  <si>
    <t>PARAMETRI AGGIORNATI</t>
  </si>
  <si>
    <t>RISULTATI</t>
  </si>
  <si>
    <t>Celle gialle</t>
  </si>
  <si>
    <t>Celle rosse</t>
  </si>
  <si>
    <t>Celle verdi</t>
  </si>
  <si>
    <t>SEZIONE</t>
  </si>
  <si>
    <t>FUNZIONE</t>
  </si>
  <si>
    <t>COSA DEVI FARE</t>
  </si>
  <si>
    <t>DOVE LEGGI IL RISULTATO</t>
  </si>
  <si>
    <t>STATO</t>
  </si>
  <si>
    <t>NOTE</t>
  </si>
  <si>
    <t>APRI</t>
  </si>
  <si>
    <t>Dati e modello principale</t>
  </si>
  <si>
    <t>Compila solo le celle gialle</t>
  </si>
  <si>
    <t>Celle verdi / risultati del modello</t>
  </si>
  <si>
    <t>OPERATIVO</t>
  </si>
  <si>
    <t>Foglio principale</t>
  </si>
  <si>
    <t>AGGIORNAMENTO 2026</t>
  </si>
  <si>
    <t>Parametri e revisione</t>
  </si>
  <si>
    <t>Controlla i parametri evidenziati</t>
  </si>
  <si>
    <t>Confronto originale / aggiornato</t>
  </si>
  <si>
    <t>VERIFICATO</t>
  </si>
  <si>
    <t>Fonte e ratio nei commenti</t>
  </si>
  <si>
    <t>PARAMETRI FINANZIARI 2026</t>
  </si>
  <si>
    <t>Costo finanziamento benchmark</t>
  </si>
  <si>
    <t>Banca d’Italia — nuovi prestiti imprese</t>
  </si>
  <si>
    <t>Remunerazione liquidità benchmark</t>
  </si>
  <si>
    <t>Banca d’Italia — depositi</t>
  </si>
  <si>
    <t>Inflazione NIC</t>
  </si>
  <si>
    <t>ISTAT — luglio 2026, dato definitivo</t>
  </si>
  <si>
    <t>IRES</t>
  </si>
  <si>
    <t>Aliquota ordinaria di riferimento</t>
  </si>
  <si>
    <t>IRAP</t>
  </si>
  <si>
    <t>IVA ordinaria</t>
  </si>
  <si>
    <t>Da verificare per categoria merceologica</t>
  </si>
  <si>
    <t>AGGIORNAMENTO MODELLO APRI</t>
  </si>
  <si>
    <t>Data aggiornamento</t>
  </si>
  <si>
    <t>13/08/2026</t>
  </si>
  <si>
    <t>Versione</t>
  </si>
  <si>
    <t>2026</t>
  </si>
  <si>
    <t>Criterio</t>
  </si>
  <si>
    <t>Sono stati aggiornati i parametri obsoleti; le formule mantengono la logica originaria.</t>
  </si>
  <si>
    <t>Colore rosso</t>
  </si>
  <si>
    <t>Valore/formula modificato rispetto all'originale</t>
  </si>
  <si>
    <t>PARAMETRO</t>
  </si>
  <si>
    <t>CELLA</t>
  </si>
  <si>
    <t>ORIGINALE</t>
  </si>
  <si>
    <t>AGGIORNATO</t>
  </si>
  <si>
    <t>FONTE/CRITERIO</t>
  </si>
  <si>
    <t>Data elaborazione</t>
  </si>
  <si>
    <t>APRI!E1</t>
  </si>
  <si>
    <t>14/06/2007</t>
  </si>
  <si>
    <t>Data corrente</t>
  </si>
  <si>
    <t>Aggiornata</t>
  </si>
  <si>
    <t>Inflazione beni largo consumo (proxy)</t>
  </si>
  <si>
    <t>APRI!C13</t>
  </si>
  <si>
    <t>2,50%</t>
  </si>
  <si>
    <t>2,80%</t>
  </si>
  <si>
    <t>ISTAT, luglio 2026</t>
  </si>
  <si>
    <t>Usata come proxy dell'inflazione corrente; il dato NIC annuo di luglio 2026 è +2,8%.</t>
  </si>
  <si>
    <t>Incremento costi</t>
  </si>
  <si>
    <t>APRI!C43</t>
  </si>
  <si>
    <t>Allineato al dato inflattivo generale; modificabile per scenario.</t>
  </si>
  <si>
    <t>Tasso passivo c/c</t>
  </si>
  <si>
    <t>APRI!C49</t>
  </si>
  <si>
    <t>5,00%</t>
  </si>
  <si>
    <t>4,34%</t>
  </si>
  <si>
    <t>Banca d'Italia, maggio 2026</t>
  </si>
  <si>
    <t>Proxy prudenziale: tasso nuovi prestiti alle società non finanziarie fino a 1 mln.</t>
  </si>
  <si>
    <t>Tasso attivo c/c</t>
  </si>
  <si>
    <t>APRI!C50</t>
  </si>
  <si>
    <t>1,50%</t>
  </si>
  <si>
    <t>0,65%</t>
  </si>
  <si>
    <t>Tasso medio passivo sui depositi in essere; usato come proxy del rendimento della liquidità.</t>
  </si>
  <si>
    <t>APRI!C51</t>
  </si>
  <si>
    <t>4,25%</t>
  </si>
  <si>
    <t>3,90%</t>
  </si>
  <si>
    <t>MEF</t>
  </si>
  <si>
    <t>Aliquota ordinaria nazionale; eventuali maggiorazioni regionali non incluse.</t>
  </si>
  <si>
    <t>APRI!C52</t>
  </si>
  <si>
    <t>33,00%</t>
  </si>
  <si>
    <t>24,00%</t>
  </si>
  <si>
    <t>Agenzia Entrate</t>
  </si>
  <si>
    <t>Aliquota ordinaria IRES vigente.</t>
  </si>
  <si>
    <t>IVA ordinaria cespiti</t>
  </si>
  <si>
    <t>APRI!B83</t>
  </si>
  <si>
    <t>20,00%</t>
  </si>
  <si>
    <t>22,00%</t>
  </si>
  <si>
    <t>Normativa IVA italiana</t>
  </si>
  <si>
    <t>Aliquota ordinaria.</t>
  </si>
  <si>
    <t>Leasing immobiliare</t>
  </si>
  <si>
    <t>APRI!D93</t>
  </si>
  <si>
    <t>Proxy per costo del finanziamento corporate fino a 1 mln.</t>
  </si>
  <si>
    <t>Leasing mobiliare</t>
  </si>
  <si>
    <t>APRI!D94</t>
  </si>
  <si>
    <t>Leasing d'azienda</t>
  </si>
  <si>
    <t>APRI!D95</t>
  </si>
  <si>
    <t>Mutuo 1</t>
  </si>
  <si>
    <t>APRI!D97</t>
  </si>
  <si>
    <t>Mutuo 2</t>
  </si>
  <si>
    <t>APRI!D98</t>
  </si>
  <si>
    <t>REVISIONE FINANZIARIA DEL MODELLO</t>
  </si>
  <si>
    <t>Controllo #VALUE!</t>
  </si>
  <si>
    <t>Corretto</t>
  </si>
  <si>
    <t>Le formule dei piani di ammortamento restituivano "" (testo) come saldo residuo; il valore veniva poi moltiplicato per il tasso, generando #VALUE!. I saldi inattivi ora restituiscono 0.</t>
  </si>
  <si>
    <t>C49 / tasso passivo c/c</t>
  </si>
  <si>
    <t>Aggiornato al dato maggio 2026 Banca d’Italia per nuovi prestiti alle imprese fino a 1 milione di euro. È un benchmark, non una quotazione bancaria specifica.</t>
  </si>
  <si>
    <t>C50 / tasso attivo c/c</t>
  </si>
  <si>
    <t>Aggiornato al dato maggio 2026 Banca d’Italia sui depositi in essere.</t>
  </si>
  <si>
    <t>C13 / inflazione beni largo consumo</t>
  </si>
  <si>
    <t>2,90%</t>
  </si>
  <si>
    <t>Parametro ricondotto all’inflazione NIC di luglio 2026; il carrello della spesa è però +1,3%, quindi il valore va inteso come ipotesi generale e non come indice specifico retail.</t>
  </si>
  <si>
    <t>C43 / incremento costi</t>
  </si>
  <si>
    <t>Allineato al parametro inflattivo generale luglio 2026.</t>
  </si>
  <si>
    <t>C51 / IRAP</t>
  </si>
  <si>
    <t>Aliquota ordinaria di riferimento; eventuale maggiorazione/differenziazione regionale non modellata.</t>
  </si>
  <si>
    <t>C52 / IRES</t>
  </si>
  <si>
    <t>Aliquota ordinaria IRES aggiornata.</t>
  </si>
  <si>
    <t>B83 / IVA ordinaria</t>
  </si>
  <si>
    <t>Aliquota ordinaria IVA vigente; le aliquote specifiche per categorie merceologiche restano da verificare separatamente.</t>
  </si>
  <si>
    <t>D93:D98 / finanziamenti</t>
  </si>
  <si>
    <t>Benchmark unico per finanziamenti/leasing nel modello, coerente con il dato Banca d’Italia maggio 2026 per prestiti alle imprese fino a 1 milione. Per un preventivo reale il tasso va sostituito con il TAN/TAEG effettivo.</t>
  </si>
  <si>
    <t>Formula finanziaria</t>
  </si>
  <si>
    <t>PMT mantenuta</t>
  </si>
  <si>
    <t>Le rate restano calcolate con PMT su periodicità trimestrale. È stata corretta la propagazione dei saldi vuoti nei piani di ammortamento senza alterare la logica economica quando il debito è attivo.</t>
  </si>
  <si>
    <t>Formula audit</t>
  </si>
  <si>
    <t>Sono state sostituite le restituzioni "" dei saldi residui nei piani di rimborso con 0, evitando errori di tipo e mantenendo invariati i calcoli quando il finanziamento è inattivo.</t>
  </si>
  <si>
    <t xml:space="preserve"> ZONA INPUT DATI:</t>
  </si>
  <si>
    <t>data elab.:</t>
  </si>
  <si>
    <t>2026-08-13</t>
  </si>
  <si>
    <t xml:space="preserve">note: </t>
  </si>
  <si>
    <t>LEGENDA</t>
  </si>
  <si>
    <t>ROSSO = parametro aggiornato 2026</t>
  </si>
  <si>
    <t>INCASSI:</t>
  </si>
  <si>
    <t>incidenza</t>
  </si>
  <si>
    <t xml:space="preserve"> m.l.</t>
  </si>
  <si>
    <t>iva</t>
  </si>
  <si>
    <t>DESCRIZIONE AGGIUNTIVA:</t>
  </si>
  <si>
    <t>Celle gialle: inserisci / aggiorna i dati</t>
  </si>
  <si>
    <t>SALA</t>
  </si>
  <si>
    <t>S.&amp; L.</t>
  </si>
  <si>
    <t>PARAMETRI 2026</t>
  </si>
  <si>
    <t>PESCE</t>
  </si>
  <si>
    <t>Celle rosse: valori aggiornati</t>
  </si>
  <si>
    <t>CARNI</t>
  </si>
  <si>
    <t>ORTO</t>
  </si>
  <si>
    <t>TOTALE   -    vendite:</t>
  </si>
  <si>
    <t>Celle verdi: risultati da leggere</t>
  </si>
  <si>
    <t>ANNO 1: mesi di vendita</t>
  </si>
  <si>
    <t>minor ML nel primo anno</t>
  </si>
  <si>
    <t>Mesi di preapertura (costi a c\economico)</t>
  </si>
  <si>
    <t xml:space="preserve">       anno 1</t>
  </si>
  <si>
    <t xml:space="preserve">       anno 2</t>
  </si>
  <si>
    <t xml:space="preserve">       anno 3</t>
  </si>
  <si>
    <t xml:space="preserve">       anno 4</t>
  </si>
  <si>
    <t>ANNI SUCCESSIVI:</t>
  </si>
  <si>
    <t>input man.</t>
  </si>
  <si>
    <t>automatico</t>
  </si>
  <si>
    <t>INFLAZ BENI LARGO CONSUMO</t>
  </si>
  <si>
    <t>INCASSI</t>
  </si>
  <si>
    <t>MARGINE LORDO</t>
  </si>
  <si>
    <t>COSTO DEL LAVORO:</t>
  </si>
  <si>
    <t>obiettivo</t>
  </si>
  <si>
    <t>calcolato</t>
  </si>
  <si>
    <t>OBIETT.PRODUTTIVITA'</t>
  </si>
  <si>
    <t>NR. DIPEND.NECESSARI</t>
  </si>
  <si>
    <t>di cui:</t>
  </si>
  <si>
    <t>NR.dipendenti</t>
  </si>
  <si>
    <t>Costo x Unità</t>
  </si>
  <si>
    <t>CAPO NEGOZIO</t>
  </si>
  <si>
    <t>CAPI REPARTO + SOCI</t>
  </si>
  <si>
    <t>ADDETTI S/ SGRAVIO</t>
  </si>
  <si>
    <t>ADDETTI  C/ SGRAVIO</t>
  </si>
  <si>
    <t>TOTALE DIPENDENTI (costo annuo)</t>
  </si>
  <si>
    <t>IMMOBILE:</t>
  </si>
  <si>
    <t>di proprietà</t>
  </si>
  <si>
    <t>in affitto</t>
  </si>
  <si>
    <t>riaffittati</t>
  </si>
  <si>
    <t>Tot.disponib.</t>
  </si>
  <si>
    <t>anno</t>
  </si>
  <si>
    <t>affitto</t>
  </si>
  <si>
    <t>ricavo</t>
  </si>
  <si>
    <t>totale</t>
  </si>
  <si>
    <t>MQ.</t>
  </si>
  <si>
    <t>di cui: AREA VENDITA</t>
  </si>
  <si>
    <t xml:space="preserve">COSTO IMMOBILIARE €/mq    </t>
  </si>
  <si>
    <t>COSTO DI AFFITTO €/mq mese</t>
  </si>
  <si>
    <t>RICAVO RIAFFITTO €/mq mese</t>
  </si>
  <si>
    <t xml:space="preserve">AFFITTO AZIENDA </t>
  </si>
  <si>
    <t>VENDITE</t>
  </si>
  <si>
    <t>ANNO</t>
  </si>
  <si>
    <t>TOT.AFFITTO</t>
  </si>
  <si>
    <t>1° scaglione</t>
  </si>
  <si>
    <t>2° scaglione</t>
  </si>
  <si>
    <t>su eccedenza 1° scagl.</t>
  </si>
  <si>
    <t>MINIMO GARANTITO (Mln)</t>
  </si>
  <si>
    <t xml:space="preserve">INPUT PARAMETRI VARI </t>
  </si>
  <si>
    <t>ANNO SUCCESS. SU  PRECED. - INC. ANNO</t>
  </si>
  <si>
    <t>VOCI:</t>
  </si>
  <si>
    <t>CONTROLLO</t>
  </si>
  <si>
    <t>ANNO 1</t>
  </si>
  <si>
    <t>ANNO 2</t>
  </si>
  <si>
    <t>ANNO 3</t>
  </si>
  <si>
    <t>4 ANNO</t>
  </si>
  <si>
    <t>% INCREM COSTI (Iinflaz Istat))</t>
  </si>
  <si>
    <t>% INCREMENTO MANUTENZIONI (su anno 2)</t>
  </si>
  <si>
    <t>% INCIDENZA PUBBLICITA'</t>
  </si>
  <si>
    <t>% TRASPORTO 0,9% / 1,25%)</t>
  </si>
  <si>
    <t>% IMBALLAGGI</t>
  </si>
  <si>
    <t xml:space="preserve">% PFA </t>
  </si>
  <si>
    <t>TASSO PASSIVO C\C</t>
  </si>
  <si>
    <t>TASSO ATTIVO C\C</t>
  </si>
  <si>
    <t>% IRAP</t>
  </si>
  <si>
    <t>% IRES</t>
  </si>
  <si>
    <t>GG.DILAZIONE INCASSI</t>
  </si>
  <si>
    <t xml:space="preserve">GG.DILAZIONE FORNITORI </t>
  </si>
  <si>
    <t>GG DILAZ.FORNIT.IMPIANTO</t>
  </si>
  <si>
    <t>GG. DILAZIONE P.F.A.(rif. 30.6)</t>
  </si>
  <si>
    <t>SCORTE</t>
  </si>
  <si>
    <t>€\mq</t>
  </si>
  <si>
    <t>TOTALE €</t>
  </si>
  <si>
    <t>% iva media</t>
  </si>
  <si>
    <t>valori di input</t>
  </si>
  <si>
    <t>SPESE GENERALI (base anno)</t>
  </si>
  <si>
    <t>assicurazioni</t>
  </si>
  <si>
    <t>condominiali</t>
  </si>
  <si>
    <t>imposte varie</t>
  </si>
  <si>
    <t>spese c/c</t>
  </si>
  <si>
    <t>prestazioni di terzi</t>
  </si>
  <si>
    <t>varie\impreviste</t>
  </si>
  <si>
    <t>S\IVA</t>
  </si>
  <si>
    <t>enel</t>
  </si>
  <si>
    <t>sip</t>
  </si>
  <si>
    <t>utenze</t>
  </si>
  <si>
    <t>pulizia</t>
  </si>
  <si>
    <t>vigilanza</t>
  </si>
  <si>
    <t>manutenzioni</t>
  </si>
  <si>
    <t>cancelleria/contabilità</t>
  </si>
  <si>
    <t>mat.consumo/varie</t>
  </si>
  <si>
    <t>C\IVA</t>
  </si>
  <si>
    <t>TOTALE</t>
  </si>
  <si>
    <t>INC.% S.G. SU VENDITE</t>
  </si>
  <si>
    <t>INVESTIMENTI ANNO 1</t>
  </si>
  <si>
    <t>iva cespiti</t>
  </si>
  <si>
    <t>di cui</t>
  </si>
  <si>
    <t>Investimento</t>
  </si>
  <si>
    <t>MESI DILAZ.</t>
  </si>
  <si>
    <t>ALIQUOTA IVA ORDINARIA</t>
  </si>
  <si>
    <t>LEASING</t>
  </si>
  <si>
    <t>NETTO</t>
  </si>
  <si>
    <t>PAGAM.</t>
  </si>
  <si>
    <t>IMMOBILE</t>
  </si>
  <si>
    <t>ATTREZZATURE</t>
  </si>
  <si>
    <t>IMPIANTI (termico / elettrico)</t>
  </si>
  <si>
    <t>OPERE MURARIE</t>
  </si>
  <si>
    <t>AVVIAMENTO \ AZIENDA</t>
  </si>
  <si>
    <t>ALTRI IMMOBILIZZI FINANZ.</t>
  </si>
  <si>
    <t>DEPOSITO CAUZIONALE</t>
  </si>
  <si>
    <t>TOTALE IMMOBILIZZI</t>
  </si>
  <si>
    <t>MUTUI \ LEASING</t>
  </si>
  <si>
    <t>IMPORTO</t>
  </si>
  <si>
    <t>ANNI</t>
  </si>
  <si>
    <t>TASSO</t>
  </si>
  <si>
    <t>% maxican.</t>
  </si>
  <si>
    <t>Importo</t>
  </si>
  <si>
    <t>LEASING IMMOBILIARE</t>
  </si>
  <si>
    <t>LEASING MOBILIARE</t>
  </si>
  <si>
    <t>LEASING D'AZIENDA</t>
  </si>
  <si>
    <t>TOTALE LEASING</t>
  </si>
  <si>
    <t>MUTUO 1</t>
  </si>
  <si>
    <t>MUTUO 2</t>
  </si>
  <si>
    <t>CAPITALE SOCIALE (20% - 40%)</t>
  </si>
  <si>
    <t>% COP.PERD: si=% no=0%</t>
  </si>
  <si>
    <t>Effettivamente versate</t>
  </si>
  <si>
    <t>% DIVIDENDO:si=% no=0%</t>
  </si>
  <si>
    <t>Prelievi per tasse, personali (oltre la remunerazione a socio, ecc.)</t>
  </si>
  <si>
    <t>IVA A RIMBORSO</t>
  </si>
  <si>
    <t>SALDO IVA ALLA FINE DELL'ANNO:</t>
  </si>
  <si>
    <t>se negativo: iva a debito</t>
  </si>
  <si>
    <t>di cui: CHIESTA A RIMBORSO</t>
  </si>
  <si>
    <t>se il rimborso è maggiore del credito: ERR</t>
  </si>
  <si>
    <t>NELL'ANNO:</t>
  </si>
  <si>
    <t>INVESTIMENTI - AMMORTAMENTI</t>
  </si>
  <si>
    <t xml:space="preserve"> anno 1</t>
  </si>
  <si>
    <t xml:space="preserve"> anno 2 - ulteriori invest.</t>
  </si>
  <si>
    <t xml:space="preserve"> anno 3 -  ulteriori invest.</t>
  </si>
  <si>
    <t xml:space="preserve"> anno 4 - ulteriori invest.</t>
  </si>
  <si>
    <t>acquisti</t>
  </si>
  <si>
    <t>%amm.to</t>
  </si>
  <si>
    <t>(8,3% - 3)</t>
  </si>
  <si>
    <t>MAXICANONE LEASING</t>
  </si>
  <si>
    <t>TOTALE IMMOBILIZZI TECNICI E FINANZIARI</t>
  </si>
  <si>
    <t>data elaborazione:</t>
  </si>
  <si>
    <t xml:space="preserve">        PREVISIONE ECONOMICO-FINANZIARIA</t>
  </si>
  <si>
    <t>C/ECONOMICO</t>
  </si>
  <si>
    <t xml:space="preserve">    1 ANNO</t>
  </si>
  <si>
    <t xml:space="preserve">    2 ANNO</t>
  </si>
  <si>
    <t xml:space="preserve">    3 ANNO</t>
  </si>
  <si>
    <t xml:space="preserve">    4 ANNO</t>
  </si>
  <si>
    <t>(G.A.)</t>
  </si>
  <si>
    <t>%</t>
  </si>
  <si>
    <t>TRASPORTO</t>
  </si>
  <si>
    <t>MATERIALE DI CONSUMO</t>
  </si>
  <si>
    <t>P.F.A.</t>
  </si>
  <si>
    <t>MARGINE NETTO</t>
  </si>
  <si>
    <t>COSTO DEL LAVORO</t>
  </si>
  <si>
    <t>SPESE GENERALI</t>
  </si>
  <si>
    <t>AMMORTAMENTO</t>
  </si>
  <si>
    <t>AFFITTO LOCALI/AZIENDA</t>
  </si>
  <si>
    <t>PUBBLICITA'</t>
  </si>
  <si>
    <t>TOTALE COSTI</t>
  </si>
  <si>
    <t>MARGINE OPERATIVO</t>
  </si>
  <si>
    <t>ONERI FINANZIARI</t>
  </si>
  <si>
    <t>IMPOSTE</t>
  </si>
  <si>
    <t>UTILE GESTIONALE</t>
  </si>
  <si>
    <t>STRUTTURA FINANZIARIA</t>
  </si>
  <si>
    <t>(SALDO ALLA FINE DELL'ESERCIZIO: 31.12)</t>
  </si>
  <si>
    <t>CASSA</t>
  </si>
  <si>
    <t>CESPITI \ IMMOB.FINANZIARI</t>
  </si>
  <si>
    <t>CREDITO P.F.A.</t>
  </si>
  <si>
    <t>CREDITO IVA A RIMBORSO</t>
  </si>
  <si>
    <t>CREDITO IVA (a breve)</t>
  </si>
  <si>
    <t>FORNITORI MERCE</t>
  </si>
  <si>
    <t>FORNITORI SERVIZI E DEBITI DIVERSI</t>
  </si>
  <si>
    <t>MUTUI E FINANZIAMENTI</t>
  </si>
  <si>
    <t>FDO AMMORTAMENTO</t>
  </si>
  <si>
    <t>ALTRI FONDI (TFR)</t>
  </si>
  <si>
    <t>CAPITALE NETTO</t>
  </si>
  <si>
    <t>UTILE \ PERDITA</t>
  </si>
  <si>
    <t>+UTILI  \ -PERDITE RIPORTATE A NUOVO</t>
  </si>
  <si>
    <t>TOTALE FONTI</t>
  </si>
  <si>
    <t>SALDO BANCA   (+ATTIVO \ - PASSIVO)</t>
  </si>
  <si>
    <t>COMPOSIZIONE VENDITE</t>
  </si>
  <si>
    <t xml:space="preserve"> INVESTIMENTO (€/1000)</t>
  </si>
  <si>
    <t>INDICI DI PRODUTTIVITA' \ REDDITIVITA'</t>
  </si>
  <si>
    <t>SETTORI:</t>
  </si>
  <si>
    <t>incid.%</t>
  </si>
  <si>
    <t xml:space="preserve">IMMOBILE </t>
  </si>
  <si>
    <t>produttività</t>
  </si>
  <si>
    <t>nr. Dipend.</t>
  </si>
  <si>
    <t>€/dipend.</t>
  </si>
  <si>
    <t>ATTREZZ./IMPIANTI</t>
  </si>
  <si>
    <t>anno 1</t>
  </si>
  <si>
    <t>anno 3</t>
  </si>
  <si>
    <t>MQ</t>
  </si>
  <si>
    <t>€\MQ</t>
  </si>
  <si>
    <t>MQ. TOTALI</t>
  </si>
  <si>
    <t>LEASING(netto anticipo)</t>
  </si>
  <si>
    <t>MQ. VENDITA</t>
  </si>
  <si>
    <t>MUTUI</t>
  </si>
  <si>
    <t>VALORI IMMOBILIARI ( €\Mq. )</t>
  </si>
  <si>
    <t>CAP.SOC.</t>
  </si>
  <si>
    <t>ACQUISTO IMMOBILE</t>
  </si>
  <si>
    <t xml:space="preserve">TOTALE   </t>
  </si>
  <si>
    <t>DISAVANZO DI STRUTTURA</t>
  </si>
  <si>
    <t>AFFITTO (€/mq mese)</t>
  </si>
  <si>
    <t>LEGENDA OPERATIVA</t>
  </si>
  <si>
    <t>ALIMENTA</t>
  </si>
  <si>
    <t>PARAMETRO 2026</t>
  </si>
  <si>
    <t>RISULTATO</t>
  </si>
  <si>
    <t>Passa il mouse sui parametri rossi per fonte/ratio</t>
  </si>
  <si>
    <t>CALCOLO IVA</t>
  </si>
  <si>
    <t>ANNO 4</t>
  </si>
  <si>
    <t>CALCOLO AFFITTO DI AZIENDA</t>
  </si>
  <si>
    <t>RIPORTO CREDITO</t>
  </si>
  <si>
    <t>CESPITI</t>
  </si>
  <si>
    <t>min.gar.</t>
  </si>
  <si>
    <t>SU 1^ FORNITURA</t>
  </si>
  <si>
    <t>sdo iniziale</t>
  </si>
  <si>
    <t>1° SCAGLIONE</t>
  </si>
  <si>
    <t>% 1° SCAGLIONE</t>
  </si>
  <si>
    <t>TRASPORTI</t>
  </si>
  <si>
    <t>tot 1°</t>
  </si>
  <si>
    <t>MATERIALE CONSUMO</t>
  </si>
  <si>
    <t>2° SCAGLIONE</t>
  </si>
  <si>
    <t>LEASING\AFFITTI</t>
  </si>
  <si>
    <t>%2° SCAGLIONE</t>
  </si>
  <si>
    <t>tot2°</t>
  </si>
  <si>
    <t>TOTALE IVA A CREDITO</t>
  </si>
  <si>
    <t>IVA SU RICAVI</t>
  </si>
  <si>
    <t>SALDO (+credito \ - debito)</t>
  </si>
  <si>
    <t>RESIDUO</t>
  </si>
  <si>
    <t>credito iva a rimborso</t>
  </si>
  <si>
    <t>tot 2°</t>
  </si>
  <si>
    <t>credito iniziale</t>
  </si>
  <si>
    <t>chiesto a rimborso nel'anno</t>
  </si>
  <si>
    <t>AFF.AZ.</t>
  </si>
  <si>
    <t>rimborso riferito all'anno:</t>
  </si>
  <si>
    <t>affitto di azienda</t>
  </si>
  <si>
    <t>scaglioni</t>
  </si>
  <si>
    <t>su incasso</t>
  </si>
  <si>
    <t>su vendite</t>
  </si>
  <si>
    <t>credito finale</t>
  </si>
  <si>
    <t>CASH FLOW:  anno</t>
  </si>
  <si>
    <t>2</t>
  </si>
  <si>
    <t>3</t>
  </si>
  <si>
    <t>4</t>
  </si>
  <si>
    <t>TASSE</t>
  </si>
  <si>
    <t>RIMBORSO MUTUO</t>
  </si>
  <si>
    <t>UTILE-+of</t>
  </si>
  <si>
    <t>LAVORO</t>
  </si>
  <si>
    <t>IRPEG</t>
  </si>
  <si>
    <t>INCREMENTO CESPITI</t>
  </si>
  <si>
    <t>INCASSO P.F.A. anno preced.</t>
  </si>
  <si>
    <t>P.F.A. anno corrente</t>
  </si>
  <si>
    <t>AMMORTAMENTI</t>
  </si>
  <si>
    <t>CREDITO IVA dell'anno</t>
  </si>
  <si>
    <t xml:space="preserve"> riporto a nuovo del risultato:</t>
  </si>
  <si>
    <t>SALDO MOV.FINANZ.</t>
  </si>
  <si>
    <t>risultato</t>
  </si>
  <si>
    <t>VALORE MEDIO</t>
  </si>
  <si>
    <t>RATEO COSTI (ESPOSIZ.VS.FORN.)</t>
  </si>
  <si>
    <t>IVA A DEBITOval.medio</t>
  </si>
  <si>
    <t>TOTALE CASH FLOW</t>
  </si>
  <si>
    <t>valore scorte</t>
  </si>
  <si>
    <t>anno 2</t>
  </si>
  <si>
    <t>anno 4</t>
  </si>
  <si>
    <t>mln\mq</t>
  </si>
  <si>
    <t>APERTURA</t>
  </si>
  <si>
    <t>totale valore</t>
  </si>
  <si>
    <t>PREAPERTURA</t>
  </si>
  <si>
    <t>% INC.IVA SU INCASSI</t>
  </si>
  <si>
    <t>controllo totale mesi anno</t>
  </si>
  <si>
    <t>SALDO DELLA GESTIONE FINANZIARIA</t>
  </si>
  <si>
    <t>sdo finale</t>
  </si>
  <si>
    <t>sdo medio</t>
  </si>
  <si>
    <t>FORNITURA DI IMPIANTO</t>
  </si>
  <si>
    <t>FORNITORI ATTREZZATURE</t>
  </si>
  <si>
    <t>INTERESSI ATTIVI</t>
  </si>
  <si>
    <t>INTERESSI PASSIVI</t>
  </si>
  <si>
    <t>INTERESSI SU MUTUI</t>
  </si>
  <si>
    <t>TOTALE INTERESSI</t>
  </si>
  <si>
    <t xml:space="preserve">    ANNO 1</t>
  </si>
  <si>
    <t xml:space="preserve">    ANNO 2</t>
  </si>
  <si>
    <t xml:space="preserve">    ANNO 3</t>
  </si>
  <si>
    <t xml:space="preserve">    ANNO 4</t>
  </si>
  <si>
    <t>AMM.TO</t>
  </si>
  <si>
    <t>FDO AM.TO</t>
  </si>
  <si>
    <t>MAXICANONE IMMOBILIARE</t>
  </si>
  <si>
    <t>MAXICANONE MOBILIARE</t>
  </si>
  <si>
    <t>MAXICANONE DI AZIENDA</t>
  </si>
  <si>
    <t>mutuo 1</t>
  </si>
  <si>
    <t>mutuo 2</t>
  </si>
  <si>
    <t xml:space="preserve"> CAPITALE </t>
  </si>
  <si>
    <t xml:space="preserve"> TOTALE ESBORSO </t>
  </si>
  <si>
    <t xml:space="preserve"> NR. ANNI </t>
  </si>
  <si>
    <t xml:space="preserve"> ANNUO </t>
  </si>
  <si>
    <t xml:space="preserve"> MESI NELLA RATA </t>
  </si>
  <si>
    <t xml:space="preserve"> TOTALE NR. RATE </t>
  </si>
  <si>
    <t xml:space="preserve"> TASSO </t>
  </si>
  <si>
    <t xml:space="preserve"> IMPORTO RATA </t>
  </si>
  <si>
    <t xml:space="preserve"> NR. </t>
  </si>
  <si>
    <t>QUOTA</t>
  </si>
  <si>
    <t>CAPITALE</t>
  </si>
  <si>
    <t xml:space="preserve"> RATA </t>
  </si>
  <si>
    <t xml:space="preserve"> INIZIALE </t>
  </si>
  <si>
    <t xml:space="preserve"> INTERESSI </t>
  </si>
  <si>
    <t>TOTALE ANNO</t>
  </si>
  <si>
    <t>TOTALE ANNO MUTUI</t>
  </si>
  <si>
    <t>leasing immobiliare</t>
  </si>
  <si>
    <t>leasing mobiliare</t>
  </si>
  <si>
    <t>Rata trimestrale</t>
  </si>
  <si>
    <t>leasing di azienda</t>
  </si>
  <si>
    <t>TOTALE CANONI LEASING</t>
  </si>
  <si>
    <t>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</si>
</sst>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_);\(#,##0.0\)"/>
    <numFmt numFmtId="165" formatCode="[$-409]d\-mmm\-yy"/>
    <numFmt numFmtId="166" formatCode="#,##0_);\(#,##0\)"/>
    <numFmt numFmtId="167" formatCode="0.0%"/>
    <numFmt numFmtId="168" formatCode="_-* #,##0.0_-;\-* #,##0.0_-;_-* \-??_-;_-@_-"/>
    <numFmt numFmtId="169" formatCode="0.0"/>
    <numFmt numFmtId="170" formatCode=";;;"/>
    <numFmt numFmtId="171" formatCode="0.000_)"/>
    <numFmt numFmtId="172" formatCode="#,##0.000_);\(#,##0.000\)"/>
    <numFmt numFmtId="173" formatCode="#,##0.0"/>
  </numFmts>
  <fonts count="46" x14ac:knownFonts="1">
    <font>
      <sz val="10"/>
      <name val="Courier New"/>
      <charset val="1"/>
    </font>
    <font>
      <b/>
      <sz val="14"/>
      <color rgb="FFFFFFFF"/>
      <name val="Cambria"/>
      <family val="1"/>
    </font>
    <font>
      <sz val="10"/>
      <name val="Univers"/>
      <family val="2"/>
    </font>
    <font>
      <sz val="10"/>
      <color rgb="FF0000FF"/>
      <name val="Univers"/>
      <family val="2"/>
    </font>
    <font>
      <sz val="12"/>
      <name val="Univers"/>
      <family val="2"/>
      <charset val="1"/>
    </font>
    <font>
      <b/>
      <sz val="10"/>
      <color rgb="FF996666"/>
      <name val="Univers"/>
      <family val="2"/>
    </font>
    <font>
      <sz val="10"/>
      <color rgb="FF996666"/>
      <name val="Univers"/>
      <family val="2"/>
    </font>
    <font>
      <b/>
      <sz val="10"/>
      <color rgb="FFFFFFFF"/>
      <name val="Univers"/>
      <family val="2"/>
    </font>
    <font>
      <sz val="10"/>
      <color rgb="FFFFFFFF"/>
      <name val="Univers"/>
      <family val="2"/>
    </font>
    <font>
      <sz val="10"/>
      <color rgb="FF000000"/>
      <name val="Univers"/>
      <family val="2"/>
      <charset val="1"/>
    </font>
    <font>
      <b/>
      <sz val="10"/>
      <name val="Univers"/>
      <family val="2"/>
    </font>
    <font>
      <sz val="10"/>
      <name val="Univers"/>
      <family val="2"/>
      <charset val="1"/>
    </font>
    <font>
      <b/>
      <sz val="10"/>
      <name val="Tahoma"/>
      <family val="2"/>
      <charset val="1"/>
    </font>
    <font>
      <sz val="6"/>
      <name val="Tahoma"/>
      <family val="2"/>
      <charset val="1"/>
    </font>
    <font>
      <b/>
      <sz val="10"/>
      <name val="Univers"/>
      <family val="2"/>
      <charset val="1"/>
    </font>
    <font>
      <sz val="8"/>
      <name val="Tahoma"/>
      <family val="2"/>
      <charset val="1"/>
    </font>
    <font>
      <sz val="8"/>
      <name val="Univers"/>
      <family val="2"/>
      <charset val="1"/>
    </font>
    <font>
      <sz val="7"/>
      <name val="Univers"/>
      <family val="2"/>
      <charset val="1"/>
    </font>
    <font>
      <b/>
      <sz val="8"/>
      <name val="Univers"/>
      <family val="2"/>
      <charset val="1"/>
    </font>
    <font>
      <b/>
      <sz val="14"/>
      <name val="Courier New"/>
      <family val="3"/>
    </font>
    <font>
      <b/>
      <sz val="14"/>
      <name val="Univers"/>
      <family val="2"/>
    </font>
    <font>
      <sz val="14"/>
      <name val="Univers"/>
      <family val="2"/>
    </font>
    <font>
      <b/>
      <sz val="12"/>
      <name val="Univers"/>
      <family val="2"/>
      <charset val="1"/>
    </font>
    <font>
      <sz val="11"/>
      <name val="Univers"/>
      <family val="2"/>
    </font>
    <font>
      <sz val="9"/>
      <name val="Univers"/>
      <family val="2"/>
      <charset val="1"/>
    </font>
    <font>
      <sz val="9"/>
      <color rgb="FF263238"/>
      <name val="Aptos"/>
      <family val="2"/>
    </font>
    <font>
      <b/>
      <sz val="12"/>
      <color rgb="FFFFFFFF"/>
      <name val="Aptos Display"/>
      <family val="2"/>
    </font>
    <font>
      <b/>
      <sz val="10"/>
      <color rgb="FFFFFFFF"/>
      <name val="Aptos Display"/>
      <family val="2"/>
    </font>
    <font>
      <b/>
      <sz val="9"/>
      <color rgb="FFC00000"/>
      <name val="Aptos"/>
      <family val="2"/>
    </font>
    <font>
      <b/>
      <sz val="9"/>
      <color rgb="FFFFFFFF"/>
      <name val="Aptos"/>
      <family val="2"/>
    </font>
    <font>
      <i/>
      <sz val="8"/>
      <color rgb="FF263238"/>
      <name val="Aptos"/>
      <family val="2"/>
    </font>
    <font>
      <b/>
      <sz val="9"/>
      <color rgb="FFFFFFFF"/>
      <name val="Aptos Display"/>
      <family val="2"/>
    </font>
    <font>
      <b/>
      <sz val="9"/>
      <color rgb="FF263238"/>
      <name val="Aptos"/>
      <family val="2"/>
    </font>
    <font>
      <b/>
      <sz val="10"/>
      <color rgb="FF263238"/>
      <name val="Aptos Display"/>
      <family val="2"/>
    </font>
    <font>
      <sz val="8"/>
      <color rgb="FF263238"/>
      <name val="Aptos"/>
      <family val="2"/>
    </font>
    <font>
      <b/>
      <sz val="18"/>
      <color rgb="FFFFFFFF"/>
      <name val="Aptos Display"/>
      <family val="2"/>
    </font>
    <font>
      <sz val="10"/>
      <color rgb="FF5B6570"/>
      <name val="Aptos"/>
      <family val="2"/>
    </font>
    <font>
      <b/>
      <sz val="10"/>
      <color rgb="FF263238"/>
      <name val="Aptos"/>
      <family val="2"/>
    </font>
    <font>
      <b/>
      <sz val="10"/>
      <color rgb="FFC00000"/>
      <name val="Aptos"/>
      <family val="2"/>
    </font>
    <font>
      <b/>
      <sz val="9"/>
      <color rgb="FF548235"/>
      <name val="Aptos"/>
      <family val="2"/>
    </font>
    <font>
      <b/>
      <u/>
      <sz val="9"/>
      <color rgb="FF2F75B5"/>
      <name val="Aptos"/>
      <family val="2"/>
    </font>
    <font>
      <sz val="8"/>
      <color rgb="FF5B6570"/>
      <name val="Aptos"/>
      <family val="2"/>
    </font>
    <font>
      <b/>
      <sz val="9"/>
      <color rgb="FF17324D"/>
      <name val="Aptos"/>
      <family val="2"/>
    </font>
    <font>
      <b/>
      <sz val="9"/>
      <name val="Aptos"/>
      <family val="2"/>
    </font>
    <font>
      <i/>
      <sz val="8"/>
      <color rgb="FF5B6570"/>
      <name val="Aptos"/>
      <family val="2"/>
    </font>
    <font>
      <sz val="10"/>
      <name val="Courier New"/>
      <family val="3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E7E6E6"/>
      </patternFill>
    </fill>
    <fill>
      <patternFill patternType="solid">
        <fgColor rgb="FFE3E3E3"/>
        <bgColor rgb="FFE7E6E6"/>
      </patternFill>
    </fill>
    <fill>
      <patternFill patternType="solid">
        <fgColor rgb="FF00FFFF"/>
        <bgColor rgb="FF00FFFF"/>
      </patternFill>
    </fill>
    <fill>
      <patternFill patternType="solid">
        <fgColor rgb="FFE7E6E6"/>
        <bgColor rgb="FFE3E3E3"/>
      </patternFill>
    </fill>
    <fill>
      <patternFill patternType="solid">
        <fgColor rgb="FFFFFFFF"/>
        <bgColor rgb="FFE7E6E6"/>
      </patternFill>
    </fill>
    <fill>
      <patternFill patternType="solid">
        <fgColor rgb="FF69FFFF"/>
        <bgColor rgb="FF33CCCC"/>
      </patternFill>
    </fill>
    <fill>
      <patternFill patternType="solid">
        <fgColor rgb="FFC0C0C0"/>
        <bgColor rgb="FFE3E3E3"/>
      </patternFill>
    </fill>
    <fill>
      <patternFill patternType="solid">
        <fgColor rgb="FFFFFF99"/>
        <bgColor rgb="FFCCFFCC"/>
      </patternFill>
    </fill>
    <fill>
      <patternFill patternType="solid">
        <fgColor rgb="FF17324D"/>
      </patternFill>
    </fill>
    <fill>
      <patternFill patternType="solid">
        <fgColor rgb="FFF4F7F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6B656"/>
      </patternFill>
    </fill>
    <fill>
      <patternFill patternType="solid">
        <fgColor rgb="FFEAF3F8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medium">
        <color rgb="FFD6B656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70AD47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164" fontId="0" fillId="0" borderId="0"/>
  </cellStyleXfs>
  <cellXfs count="347">
    <xf numFmtId="164" fontId="0" fillId="0" borderId="0" xfId="0"/>
    <xf numFmtId="0" fontId="0" fillId="0" borderId="0" xfId="0" applyNumberFormat="1"/>
    <xf numFmtId="0" fontId="1" fillId="2" borderId="0" xfId="0" applyNumberFormat="1" applyFont="1" applyFill="1" applyAlignment="1">
      <alignment vertical="top" wrapText="1"/>
    </xf>
    <xf numFmtId="0" fontId="0" fillId="0" borderId="0" xfId="0" applyNumberFormat="1" applyAlignment="1">
      <alignment vertical="top" wrapText="1"/>
    </xf>
    <xf numFmtId="164" fontId="2" fillId="0" borderId="0" xfId="0" applyFont="1"/>
    <xf numFmtId="164" fontId="3" fillId="0" borderId="0" xfId="0" applyFont="1"/>
    <xf numFmtId="164" fontId="4" fillId="3" borderId="6" xfId="0" applyFont="1" applyFill="1" applyBorder="1"/>
    <xf numFmtId="164" fontId="4" fillId="5" borderId="3" xfId="0" applyFont="1" applyFill="1" applyBorder="1"/>
    <xf numFmtId="164" fontId="5" fillId="8" borderId="0" xfId="0" applyFont="1" applyFill="1" applyAlignment="1">
      <alignment horizontal="right"/>
    </xf>
    <xf numFmtId="164" fontId="7" fillId="8" borderId="0" xfId="0" applyFont="1" applyFill="1" applyAlignment="1">
      <alignment horizontal="right"/>
    </xf>
    <xf numFmtId="10" fontId="8" fillId="8" borderId="0" xfId="0" applyNumberFormat="1" applyFont="1" applyFill="1"/>
    <xf numFmtId="168" fontId="3" fillId="0" borderId="11" xfId="0" applyNumberFormat="1" applyFont="1" applyBorder="1" applyProtection="1">
      <protection locked="0"/>
    </xf>
    <xf numFmtId="168" fontId="3" fillId="0" borderId="12" xfId="0" applyNumberFormat="1" applyFont="1" applyBorder="1" applyProtection="1">
      <protection locked="0"/>
    </xf>
    <xf numFmtId="164" fontId="2" fillId="0" borderId="2" xfId="0" applyFont="1" applyBorder="1" applyAlignment="1">
      <alignment horizontal="left"/>
    </xf>
    <xf numFmtId="164" fontId="2" fillId="0" borderId="13" xfId="0" applyFont="1" applyBorder="1"/>
    <xf numFmtId="164" fontId="2" fillId="0" borderId="15" xfId="0" applyFont="1" applyBorder="1"/>
    <xf numFmtId="164" fontId="2" fillId="0" borderId="16" xfId="0" applyFont="1" applyBorder="1" applyAlignment="1">
      <alignment horizontal="left"/>
    </xf>
    <xf numFmtId="10" fontId="3" fillId="6" borderId="17" xfId="0" applyNumberFormat="1" applyFont="1" applyFill="1" applyBorder="1"/>
    <xf numFmtId="10" fontId="3" fillId="3" borderId="17" xfId="0" applyNumberFormat="1" applyFont="1" applyFill="1" applyBorder="1" applyProtection="1">
      <protection locked="0"/>
    </xf>
    <xf numFmtId="166" fontId="3" fillId="6" borderId="17" xfId="0" applyNumberFormat="1" applyFont="1" applyFill="1" applyBorder="1"/>
    <xf numFmtId="164" fontId="2" fillId="0" borderId="11" xfId="0" applyFont="1" applyBorder="1"/>
    <xf numFmtId="167" fontId="3" fillId="6" borderId="18" xfId="0" applyNumberFormat="1" applyFont="1" applyFill="1" applyBorder="1"/>
    <xf numFmtId="10" fontId="9" fillId="0" borderId="0" xfId="0" applyNumberFormat="1" applyFont="1"/>
    <xf numFmtId="164" fontId="9" fillId="0" borderId="0" xfId="0" applyFont="1"/>
    <xf numFmtId="164" fontId="10" fillId="0" borderId="23" xfId="0" applyFont="1" applyBorder="1"/>
    <xf numFmtId="164" fontId="2" fillId="0" borderId="28" xfId="0" applyFont="1" applyBorder="1"/>
    <xf numFmtId="164" fontId="2" fillId="0" borderId="0" xfId="0" applyFont="1" applyAlignment="1">
      <alignment horizontal="left"/>
    </xf>
    <xf numFmtId="166" fontId="3" fillId="3" borderId="24" xfId="0" applyNumberFormat="1" applyFont="1" applyFill="1" applyBorder="1" applyProtection="1">
      <protection locked="0"/>
    </xf>
    <xf numFmtId="164" fontId="2" fillId="5" borderId="27" xfId="0" applyFont="1" applyFill="1" applyBorder="1"/>
    <xf numFmtId="166" fontId="11" fillId="3" borderId="33" xfId="0" applyNumberFormat="1" applyFont="1" applyFill="1" applyBorder="1" applyProtection="1">
      <protection locked="0"/>
    </xf>
    <xf numFmtId="164" fontId="2" fillId="10" borderId="32" xfId="0" applyFont="1" applyFill="1" applyBorder="1"/>
    <xf numFmtId="166" fontId="3" fillId="10" borderId="9" xfId="0" applyNumberFormat="1" applyFont="1" applyFill="1" applyBorder="1"/>
    <xf numFmtId="164" fontId="2" fillId="10" borderId="27" xfId="0" applyFont="1" applyFill="1" applyBorder="1"/>
    <xf numFmtId="164" fontId="2" fillId="10" borderId="6" xfId="0" applyFont="1" applyFill="1" applyBorder="1"/>
    <xf numFmtId="164" fontId="11" fillId="3" borderId="34" xfId="0" applyFont="1" applyFill="1" applyBorder="1" applyProtection="1">
      <protection locked="0"/>
    </xf>
    <xf numFmtId="164" fontId="2" fillId="10" borderId="30" xfId="0" applyFont="1" applyFill="1" applyBorder="1"/>
    <xf numFmtId="164" fontId="2" fillId="10" borderId="12" xfId="0" applyFont="1" applyFill="1" applyBorder="1"/>
    <xf numFmtId="164" fontId="11" fillId="0" borderId="0" xfId="0" applyFont="1" applyAlignment="1">
      <alignment horizontal="left"/>
    </xf>
    <xf numFmtId="164" fontId="2" fillId="0" borderId="0" xfId="0" applyFont="1" applyProtection="1">
      <protection locked="0"/>
    </xf>
    <xf numFmtId="164" fontId="2" fillId="0" borderId="0" xfId="0" applyFont="1" applyAlignment="1" applyProtection="1">
      <alignment horizontal="center"/>
      <protection locked="0"/>
    </xf>
    <xf numFmtId="4" fontId="12" fillId="0" borderId="0" xfId="0" applyNumberFormat="1" applyFont="1" applyProtection="1">
      <protection locked="0"/>
    </xf>
    <xf numFmtId="10" fontId="13" fillId="0" borderId="0" xfId="0" applyNumberFormat="1" applyFont="1" applyProtection="1">
      <protection locked="0"/>
    </xf>
    <xf numFmtId="10" fontId="13" fillId="0" borderId="0" xfId="0" applyNumberFormat="1" applyFont="1"/>
    <xf numFmtId="4" fontId="12" fillId="0" borderId="0" xfId="0" applyNumberFormat="1" applyFont="1"/>
    <xf numFmtId="164" fontId="0" fillId="0" borderId="0" xfId="0" applyProtection="1">
      <protection locked="0"/>
    </xf>
    <xf numFmtId="10" fontId="3" fillId="5" borderId="18" xfId="0" applyNumberFormat="1" applyFont="1" applyFill="1" applyBorder="1" applyProtection="1">
      <protection locked="0"/>
    </xf>
    <xf numFmtId="10" fontId="3" fillId="5" borderId="37" xfId="0" applyNumberFormat="1" applyFont="1" applyFill="1" applyBorder="1" applyProtection="1">
      <protection locked="0"/>
    </xf>
    <xf numFmtId="164" fontId="14" fillId="0" borderId="0" xfId="0" applyFont="1" applyAlignment="1">
      <alignment horizontal="left"/>
    </xf>
    <xf numFmtId="167" fontId="3" fillId="5" borderId="0" xfId="0" applyNumberFormat="1" applyFont="1" applyFill="1"/>
    <xf numFmtId="167" fontId="3" fillId="5" borderId="6" xfId="0" applyNumberFormat="1" applyFont="1" applyFill="1" applyBorder="1"/>
    <xf numFmtId="164" fontId="3" fillId="5" borderId="0" xfId="0" applyFont="1" applyFill="1"/>
    <xf numFmtId="164" fontId="3" fillId="5" borderId="6" xfId="0" applyFont="1" applyFill="1" applyBorder="1"/>
    <xf numFmtId="164" fontId="3" fillId="3" borderId="27" xfId="0" applyFont="1" applyFill="1" applyBorder="1" applyProtection="1">
      <protection locked="0"/>
    </xf>
    <xf numFmtId="164" fontId="2" fillId="0" borderId="23" xfId="0" applyFont="1" applyBorder="1"/>
    <xf numFmtId="164" fontId="15" fillId="0" borderId="0" xfId="0" applyFont="1" applyProtection="1">
      <protection locked="0"/>
    </xf>
    <xf numFmtId="4" fontId="15" fillId="0" borderId="0" xfId="0" applyNumberFormat="1" applyFont="1" applyProtection="1">
      <protection locked="0"/>
    </xf>
    <xf numFmtId="164" fontId="2" fillId="0" borderId="38" xfId="0" applyFont="1" applyBorder="1"/>
    <xf numFmtId="164" fontId="16" fillId="0" borderId="0" xfId="0" applyFont="1" applyAlignment="1">
      <alignment horizontal="left"/>
    </xf>
    <xf numFmtId="164" fontId="16" fillId="0" borderId="0" xfId="0" applyFont="1" applyAlignment="1" applyProtection="1">
      <alignment horizontal="center"/>
      <protection locked="0"/>
    </xf>
    <xf numFmtId="170" fontId="2" fillId="0" borderId="0" xfId="0" applyNumberFormat="1" applyFont="1"/>
    <xf numFmtId="164" fontId="2" fillId="0" borderId="29" xfId="0" applyFont="1" applyBorder="1"/>
    <xf numFmtId="164" fontId="16" fillId="0" borderId="0" xfId="0" applyFont="1"/>
    <xf numFmtId="164" fontId="16" fillId="0" borderId="0" xfId="0" applyFont="1" applyAlignment="1" applyProtection="1">
      <alignment horizontal="left"/>
      <protection locked="0"/>
    </xf>
    <xf numFmtId="166" fontId="3" fillId="3" borderId="27" xfId="0" applyNumberFormat="1" applyFont="1" applyFill="1" applyBorder="1" applyProtection="1">
      <protection locked="0"/>
    </xf>
    <xf numFmtId="166" fontId="3" fillId="5" borderId="27" xfId="0" applyNumberFormat="1" applyFont="1" applyFill="1" applyBorder="1" applyProtection="1">
      <protection locked="0"/>
    </xf>
    <xf numFmtId="9" fontId="0" fillId="5" borderId="30" xfId="0" applyNumberFormat="1" applyFill="1" applyBorder="1"/>
    <xf numFmtId="164" fontId="2" fillId="5" borderId="40" xfId="0" applyFont="1" applyFill="1" applyBorder="1"/>
    <xf numFmtId="164" fontId="2" fillId="0" borderId="0" xfId="0" applyFont="1" applyAlignment="1">
      <alignment horizontal="center"/>
    </xf>
    <xf numFmtId="164" fontId="17" fillId="0" borderId="0" xfId="0" applyFont="1"/>
    <xf numFmtId="164" fontId="18" fillId="0" borderId="0" xfId="0" applyFont="1" applyAlignment="1" applyProtection="1">
      <alignment horizontal="center"/>
      <protection locked="0"/>
    </xf>
    <xf numFmtId="170" fontId="0" fillId="0" borderId="0" xfId="0" applyNumberFormat="1" applyProtection="1">
      <protection locked="0" hidden="1"/>
    </xf>
    <xf numFmtId="164" fontId="3" fillId="5" borderId="27" xfId="0" applyFont="1" applyFill="1" applyBorder="1"/>
    <xf numFmtId="10" fontId="3" fillId="5" borderId="27" xfId="0" applyNumberFormat="1" applyFont="1" applyFill="1" applyBorder="1"/>
    <xf numFmtId="9" fontId="3" fillId="5" borderId="22" xfId="0" applyNumberFormat="1" applyFont="1" applyFill="1" applyBorder="1"/>
    <xf numFmtId="166" fontId="3" fillId="3" borderId="20" xfId="0" applyNumberFormat="1" applyFont="1" applyFill="1" applyBorder="1" applyProtection="1">
      <protection locked="0"/>
    </xf>
    <xf numFmtId="164" fontId="2" fillId="5" borderId="39" xfId="0" applyFont="1" applyFill="1" applyBorder="1"/>
    <xf numFmtId="166" fontId="3" fillId="3" borderId="36" xfId="0" applyNumberFormat="1" applyFont="1" applyFill="1" applyBorder="1" applyProtection="1">
      <protection locked="0"/>
    </xf>
    <xf numFmtId="164" fontId="3" fillId="5" borderId="37" xfId="0" applyFont="1" applyFill="1" applyBorder="1"/>
    <xf numFmtId="10" fontId="3" fillId="0" borderId="0" xfId="0" applyNumberFormat="1" applyFont="1"/>
    <xf numFmtId="164" fontId="10" fillId="0" borderId="0" xfId="0" applyFont="1" applyAlignment="1">
      <alignment horizontal="left"/>
    </xf>
    <xf numFmtId="166" fontId="3" fillId="0" borderId="0" xfId="0" applyNumberFormat="1" applyFont="1"/>
    <xf numFmtId="164" fontId="2" fillId="0" borderId="43" xfId="0" applyFont="1" applyBorder="1"/>
    <xf numFmtId="164" fontId="2" fillId="0" borderId="0" xfId="0" applyFont="1" applyAlignment="1">
      <alignment horizontal="fill"/>
    </xf>
    <xf numFmtId="170" fontId="0" fillId="0" borderId="0" xfId="0" applyNumberFormat="1" applyProtection="1">
      <protection hidden="1"/>
    </xf>
    <xf numFmtId="164" fontId="11" fillId="0" borderId="10" xfId="0" applyFont="1" applyBorder="1" applyAlignment="1">
      <alignment horizontal="left"/>
    </xf>
    <xf numFmtId="164" fontId="6" fillId="8" borderId="0" xfId="0" applyFont="1" applyFill="1"/>
    <xf numFmtId="172" fontId="2" fillId="0" borderId="0" xfId="0" applyNumberFormat="1" applyFont="1"/>
    <xf numFmtId="10" fontId="2" fillId="5" borderId="35" xfId="0" applyNumberFormat="1" applyFont="1" applyFill="1" applyBorder="1"/>
    <xf numFmtId="10" fontId="6" fillId="8" borderId="0" xfId="0" applyNumberFormat="1" applyFont="1" applyFill="1"/>
    <xf numFmtId="164" fontId="2" fillId="0" borderId="44" xfId="0" applyFont="1" applyBorder="1"/>
    <xf numFmtId="164" fontId="19" fillId="8" borderId="26" xfId="0" applyFont="1" applyFill="1" applyBorder="1"/>
    <xf numFmtId="164" fontId="20" fillId="8" borderId="26" xfId="0" applyFont="1" applyFill="1" applyBorder="1"/>
    <xf numFmtId="164" fontId="20" fillId="8" borderId="41" xfId="0" applyFont="1" applyFill="1" applyBorder="1"/>
    <xf numFmtId="164" fontId="20" fillId="8" borderId="15" xfId="0" applyFont="1" applyFill="1" applyBorder="1"/>
    <xf numFmtId="164" fontId="20" fillId="8" borderId="0" xfId="0" applyFont="1" applyFill="1"/>
    <xf numFmtId="164" fontId="21" fillId="8" borderId="0" xfId="0" applyFont="1" applyFill="1"/>
    <xf numFmtId="164" fontId="21" fillId="8" borderId="19" xfId="0" applyFont="1" applyFill="1" applyBorder="1"/>
    <xf numFmtId="164" fontId="21" fillId="8" borderId="28" xfId="0" applyFont="1" applyFill="1" applyBorder="1"/>
    <xf numFmtId="164" fontId="20" fillId="8" borderId="47" xfId="0" applyFont="1" applyFill="1" applyBorder="1"/>
    <xf numFmtId="164" fontId="20" fillId="8" borderId="38" xfId="0" applyFont="1" applyFill="1" applyBorder="1"/>
    <xf numFmtId="164" fontId="21" fillId="8" borderId="15" xfId="0" applyFont="1" applyFill="1" applyBorder="1"/>
    <xf numFmtId="164" fontId="20" fillId="8" borderId="11" xfId="0" applyFont="1" applyFill="1" applyBorder="1"/>
    <xf numFmtId="164" fontId="2" fillId="8" borderId="0" xfId="0" applyFont="1" applyFill="1" applyAlignment="1">
      <alignment horizontal="left"/>
    </xf>
    <xf numFmtId="164" fontId="2" fillId="8" borderId="0" xfId="0" applyFont="1" applyFill="1"/>
    <xf numFmtId="3" fontId="2" fillId="8" borderId="0" xfId="0" applyNumberFormat="1" applyFont="1" applyFill="1"/>
    <xf numFmtId="164" fontId="21" fillId="8" borderId="0" xfId="0" applyFont="1" applyFill="1" applyAlignment="1">
      <alignment horizontal="center"/>
    </xf>
    <xf numFmtId="3" fontId="21" fillId="8" borderId="0" xfId="0" applyNumberFormat="1" applyFont="1" applyFill="1" applyAlignment="1">
      <alignment horizontal="center"/>
    </xf>
    <xf numFmtId="3" fontId="21" fillId="8" borderId="6" xfId="0" applyNumberFormat="1" applyFont="1" applyFill="1" applyBorder="1" applyAlignment="1">
      <alignment horizontal="center"/>
    </xf>
    <xf numFmtId="164" fontId="20" fillId="8" borderId="27" xfId="0" applyFont="1" applyFill="1" applyBorder="1"/>
    <xf numFmtId="164" fontId="20" fillId="8" borderId="35" xfId="0" applyFont="1" applyFill="1" applyBorder="1"/>
    <xf numFmtId="3" fontId="21" fillId="8" borderId="27" xfId="0" applyNumberFormat="1" applyFont="1" applyFill="1" applyBorder="1"/>
    <xf numFmtId="164" fontId="20" fillId="8" borderId="30" xfId="0" applyFont="1" applyFill="1" applyBorder="1"/>
    <xf numFmtId="164" fontId="20" fillId="8" borderId="12" xfId="0" applyFont="1" applyFill="1" applyBorder="1"/>
    <xf numFmtId="164" fontId="22" fillId="8" borderId="0" xfId="0" applyFont="1" applyFill="1"/>
    <xf numFmtId="3" fontId="22" fillId="8" borderId="0" xfId="0" applyNumberFormat="1" applyFont="1" applyFill="1"/>
    <xf numFmtId="164" fontId="10" fillId="8" borderId="0" xfId="0" applyFont="1" applyFill="1"/>
    <xf numFmtId="164" fontId="2" fillId="0" borderId="23" xfId="0" applyFont="1" applyBorder="1" applyAlignment="1">
      <alignment horizontal="fill"/>
    </xf>
    <xf numFmtId="164" fontId="2" fillId="0" borderId="45" xfId="0" applyFont="1" applyBorder="1"/>
    <xf numFmtId="164" fontId="2" fillId="0" borderId="19" xfId="0" applyFont="1" applyBorder="1"/>
    <xf numFmtId="164" fontId="2" fillId="0" borderId="5" xfId="0" applyFont="1" applyBorder="1"/>
    <xf numFmtId="10" fontId="2" fillId="0" borderId="27" xfId="0" applyNumberFormat="1" applyFont="1" applyBorder="1"/>
    <xf numFmtId="10" fontId="2" fillId="0" borderId="6" xfId="0" applyNumberFormat="1" applyFont="1" applyBorder="1"/>
    <xf numFmtId="164" fontId="2" fillId="0" borderId="14" xfId="0" applyFont="1" applyBorder="1" applyAlignment="1">
      <alignment horizontal="fill"/>
    </xf>
    <xf numFmtId="164" fontId="2" fillId="0" borderId="28" xfId="0" applyFont="1" applyBorder="1" applyAlignment="1">
      <alignment horizontal="fill"/>
    </xf>
    <xf numFmtId="164" fontId="23" fillId="0" borderId="15" xfId="0" applyFont="1" applyBorder="1"/>
    <xf numFmtId="164" fontId="24" fillId="0" borderId="15" xfId="0" applyFont="1" applyBorder="1"/>
    <xf numFmtId="164" fontId="2" fillId="0" borderId="31" xfId="0" applyFont="1" applyBorder="1"/>
    <xf numFmtId="164" fontId="2" fillId="0" borderId="48" xfId="0" applyFont="1" applyBorder="1"/>
    <xf numFmtId="164" fontId="2" fillId="0" borderId="0" xfId="0" applyFont="1" applyAlignment="1">
      <alignment horizontal="right"/>
    </xf>
    <xf numFmtId="166" fontId="2" fillId="0" borderId="1" xfId="0" applyNumberFormat="1" applyFont="1" applyBorder="1" applyAlignment="1">
      <alignment horizontal="center"/>
    </xf>
    <xf numFmtId="166" fontId="2" fillId="0" borderId="0" xfId="0" applyNumberFormat="1" applyFont="1"/>
    <xf numFmtId="169" fontId="2" fillId="0" borderId="15" xfId="0" applyNumberFormat="1" applyFont="1" applyBorder="1"/>
    <xf numFmtId="169" fontId="2" fillId="0" borderId="16" xfId="0" applyNumberFormat="1" applyFont="1" applyBorder="1"/>
    <xf numFmtId="164" fontId="14" fillId="0" borderId="19" xfId="0" applyFont="1" applyBorder="1"/>
    <xf numFmtId="164" fontId="14" fillId="0" borderId="49" xfId="0" applyFont="1" applyBorder="1"/>
    <xf numFmtId="169" fontId="2" fillId="0" borderId="35" xfId="0" applyNumberFormat="1" applyFont="1" applyBorder="1"/>
    <xf numFmtId="169" fontId="2" fillId="0" borderId="27" xfId="0" applyNumberFormat="1" applyFont="1" applyBorder="1"/>
    <xf numFmtId="166" fontId="2" fillId="0" borderId="0" xfId="0" applyNumberFormat="1" applyFont="1" applyAlignment="1">
      <alignment horizontal="center"/>
    </xf>
    <xf numFmtId="164" fontId="2" fillId="0" borderId="49" xfId="0" applyFont="1" applyBorder="1"/>
    <xf numFmtId="169" fontId="2" fillId="0" borderId="22" xfId="0" applyNumberFormat="1" applyFont="1" applyBorder="1"/>
    <xf numFmtId="164" fontId="2" fillId="0" borderId="25" xfId="0" applyFont="1" applyBorder="1"/>
    <xf numFmtId="164" fontId="2" fillId="0" borderId="50" xfId="0" applyFont="1" applyBorder="1"/>
    <xf numFmtId="164" fontId="18" fillId="0" borderId="0" xfId="0" applyFont="1"/>
    <xf numFmtId="164" fontId="14" fillId="0" borderId="0" xfId="0" applyFont="1"/>
    <xf numFmtId="169" fontId="14" fillId="0" borderId="0" xfId="0" applyNumberFormat="1" applyFont="1"/>
    <xf numFmtId="164" fontId="2" fillId="0" borderId="21" xfId="0" applyFont="1" applyBorder="1"/>
    <xf numFmtId="169" fontId="11" fillId="0" borderId="0" xfId="0" applyNumberFormat="1" applyFont="1" applyAlignment="1">
      <alignment horizontal="center"/>
    </xf>
    <xf numFmtId="169" fontId="11" fillId="0" borderId="25" xfId="0" applyNumberFormat="1" applyFont="1" applyBorder="1" applyAlignment="1">
      <alignment horizontal="center"/>
    </xf>
    <xf numFmtId="170" fontId="2" fillId="0" borderId="13" xfId="0" applyNumberFormat="1" applyFont="1" applyBorder="1"/>
    <xf numFmtId="10" fontId="9" fillId="8" borderId="0" xfId="0" applyNumberFormat="1" applyFont="1" applyFill="1"/>
    <xf numFmtId="169" fontId="11" fillId="0" borderId="0" xfId="0" applyNumberFormat="1" applyFont="1" applyAlignment="1">
      <alignment horizontal="left"/>
    </xf>
    <xf numFmtId="169" fontId="14" fillId="0" borderId="8" xfId="0" applyNumberFormat="1" applyFont="1" applyBorder="1"/>
    <xf numFmtId="169" fontId="14" fillId="0" borderId="21" xfId="0" applyNumberFormat="1" applyFont="1" applyBorder="1"/>
    <xf numFmtId="169" fontId="2" fillId="0" borderId="5" xfId="0" applyNumberFormat="1" applyFont="1" applyBorder="1"/>
    <xf numFmtId="169" fontId="2" fillId="0" borderId="0" xfId="0" applyNumberFormat="1" applyFont="1"/>
    <xf numFmtId="169" fontId="2" fillId="0" borderId="6" xfId="0" applyNumberFormat="1" applyFont="1" applyBorder="1"/>
    <xf numFmtId="164" fontId="2" fillId="0" borderId="51" xfId="0" applyFont="1" applyBorder="1"/>
    <xf numFmtId="164" fontId="2" fillId="0" borderId="9" xfId="0" applyFont="1" applyBorder="1"/>
    <xf numFmtId="169" fontId="2" fillId="0" borderId="8" xfId="0" applyNumberFormat="1" applyFont="1" applyBorder="1"/>
    <xf numFmtId="169" fontId="2" fillId="0" borderId="21" xfId="0" applyNumberFormat="1" applyFont="1" applyBorder="1"/>
    <xf numFmtId="164" fontId="2" fillId="0" borderId="6" xfId="0" applyFont="1" applyBorder="1"/>
    <xf numFmtId="164" fontId="14" fillId="0" borderId="3" xfId="0" applyFont="1" applyBorder="1"/>
    <xf numFmtId="169" fontId="14" fillId="0" borderId="2" xfId="0" applyNumberFormat="1" applyFont="1" applyBorder="1"/>
    <xf numFmtId="169" fontId="14" fillId="0" borderId="13" xfId="0" applyNumberFormat="1" applyFont="1" applyBorder="1"/>
    <xf numFmtId="164" fontId="2" fillId="0" borderId="8" xfId="0" applyFont="1" applyBorder="1"/>
    <xf numFmtId="164" fontId="2" fillId="0" borderId="14" xfId="0" applyFont="1" applyBorder="1"/>
    <xf numFmtId="164" fontId="2" fillId="0" borderId="16" xfId="0" applyFont="1" applyBorder="1"/>
    <xf numFmtId="164" fontId="2" fillId="0" borderId="10" xfId="0" applyFont="1" applyBorder="1"/>
    <xf numFmtId="164" fontId="2" fillId="0" borderId="12" xfId="0" applyFont="1" applyBorder="1"/>
    <xf numFmtId="164" fontId="2" fillId="0" borderId="26" xfId="0" applyFont="1" applyBorder="1"/>
    <xf numFmtId="164" fontId="16" fillId="0" borderId="0" xfId="0" applyFont="1" applyAlignment="1">
      <alignment horizontal="right"/>
    </xf>
    <xf numFmtId="164" fontId="2" fillId="0" borderId="46" xfId="0" applyFont="1" applyBorder="1"/>
    <xf numFmtId="164" fontId="2" fillId="0" borderId="22" xfId="0" applyFont="1" applyBorder="1"/>
    <xf numFmtId="164" fontId="2" fillId="0" borderId="42" xfId="0" applyFont="1" applyBorder="1"/>
    <xf numFmtId="164" fontId="16" fillId="0" borderId="22" xfId="0" applyFont="1" applyBorder="1"/>
    <xf numFmtId="0" fontId="28" fillId="12" borderId="52" xfId="0" applyNumberFormat="1" applyFont="1" applyFill="1" applyBorder="1" applyAlignment="1">
      <alignment horizontal="center" vertical="center" wrapText="1"/>
    </xf>
    <xf numFmtId="0" fontId="27" fillId="12" borderId="52" xfId="0" applyNumberFormat="1" applyFont="1" applyFill="1" applyBorder="1" applyAlignment="1">
      <alignment horizontal="center" vertical="center" wrapText="1"/>
    </xf>
    <xf numFmtId="0" fontId="25" fillId="0" borderId="52" xfId="0" applyNumberFormat="1" applyFont="1" applyBorder="1" applyAlignment="1">
      <alignment vertical="center"/>
    </xf>
    <xf numFmtId="0" fontId="25" fillId="2" borderId="52" xfId="0" applyNumberFormat="1" applyFont="1" applyFill="1" applyBorder="1" applyAlignment="1">
      <alignment vertical="center"/>
    </xf>
    <xf numFmtId="0" fontId="28" fillId="2" borderId="52" xfId="0" applyNumberFormat="1" applyFont="1" applyFill="1" applyBorder="1" applyAlignment="1">
      <alignment vertical="center"/>
    </xf>
    <xf numFmtId="0" fontId="28" fillId="0" borderId="52" xfId="0" applyNumberFormat="1" applyFont="1" applyBorder="1" applyAlignment="1">
      <alignment vertical="center"/>
    </xf>
    <xf numFmtId="164" fontId="27" fillId="12" borderId="52" xfId="0" applyFont="1" applyFill="1" applyBorder="1" applyAlignment="1">
      <alignment horizontal="center" vertical="center" wrapText="1"/>
    </xf>
    <xf numFmtId="164" fontId="25" fillId="7" borderId="52" xfId="0" applyFont="1" applyFill="1" applyBorder="1" applyAlignment="1">
      <alignment vertical="center"/>
    </xf>
    <xf numFmtId="166" fontId="25" fillId="7" borderId="52" xfId="0" applyNumberFormat="1" applyFont="1" applyFill="1" applyBorder="1" applyAlignment="1">
      <alignment vertical="center"/>
    </xf>
    <xf numFmtId="10" fontId="25" fillId="7" borderId="52" xfId="0" applyNumberFormat="1" applyFont="1" applyFill="1" applyBorder="1" applyAlignment="1">
      <alignment vertical="center"/>
    </xf>
    <xf numFmtId="164" fontId="25" fillId="0" borderId="52" xfId="0" applyFont="1" applyBorder="1" applyAlignment="1">
      <alignment vertical="center"/>
    </xf>
    <xf numFmtId="166" fontId="25" fillId="0" borderId="52" xfId="0" applyNumberFormat="1" applyFont="1" applyBorder="1" applyAlignment="1">
      <alignment vertical="center"/>
    </xf>
    <xf numFmtId="10" fontId="25" fillId="0" borderId="52" xfId="0" applyNumberFormat="1" applyFont="1" applyBorder="1" applyAlignment="1">
      <alignment vertical="center"/>
    </xf>
    <xf numFmtId="169" fontId="27" fillId="12" borderId="52" xfId="0" applyNumberFormat="1" applyFont="1" applyFill="1" applyBorder="1" applyAlignment="1">
      <alignment horizontal="center" vertical="center" wrapText="1"/>
    </xf>
    <xf numFmtId="166" fontId="27" fillId="12" borderId="52" xfId="0" applyNumberFormat="1" applyFont="1" applyFill="1" applyBorder="1" applyAlignment="1">
      <alignment horizontal="center" vertical="center" wrapText="1"/>
    </xf>
    <xf numFmtId="169" fontId="25" fillId="0" borderId="52" xfId="0" applyNumberFormat="1" applyFont="1" applyBorder="1" applyAlignment="1">
      <alignment vertical="center"/>
    </xf>
    <xf numFmtId="169" fontId="25" fillId="7" borderId="52" xfId="0" applyNumberFormat="1" applyFont="1" applyFill="1" applyBorder="1" applyAlignment="1">
      <alignment vertical="center"/>
    </xf>
    <xf numFmtId="1" fontId="25" fillId="0" borderId="52" xfId="0" applyNumberFormat="1" applyFont="1" applyBorder="1" applyAlignment="1">
      <alignment vertical="center"/>
    </xf>
    <xf numFmtId="171" fontId="25" fillId="0" borderId="52" xfId="0" applyNumberFormat="1" applyFont="1" applyBorder="1" applyAlignment="1">
      <alignment vertical="center"/>
    </xf>
    <xf numFmtId="167" fontId="25" fillId="0" borderId="52" xfId="0" applyNumberFormat="1" applyFont="1" applyBorder="1" applyAlignment="1">
      <alignment vertical="center"/>
    </xf>
    <xf numFmtId="0" fontId="29" fillId="12" borderId="0" xfId="0" applyNumberFormat="1" applyFont="1" applyFill="1" applyAlignment="1">
      <alignment horizontal="center" vertical="center" wrapText="1"/>
    </xf>
    <xf numFmtId="0" fontId="40" fillId="0" borderId="60" xfId="0" applyNumberFormat="1" applyFont="1" applyBorder="1" applyAlignment="1">
      <alignment vertical="center" wrapText="1"/>
    </xf>
    <xf numFmtId="0" fontId="25" fillId="0" borderId="60" xfId="0" applyNumberFormat="1" applyFont="1" applyBorder="1" applyAlignment="1">
      <alignment vertical="center" wrapText="1"/>
    </xf>
    <xf numFmtId="0" fontId="39" fillId="16" borderId="60" xfId="0" applyNumberFormat="1" applyFont="1" applyFill="1" applyBorder="1" applyAlignment="1">
      <alignment vertical="center" wrapText="1"/>
    </xf>
    <xf numFmtId="0" fontId="32" fillId="0" borderId="0" xfId="0" applyNumberFormat="1" applyFont="1"/>
    <xf numFmtId="10" fontId="38" fillId="14" borderId="0" xfId="0" applyNumberFormat="1" applyFont="1" applyFill="1"/>
    <xf numFmtId="164" fontId="26" fillId="12" borderId="60" xfId="0" applyFont="1" applyFill="1" applyBorder="1" applyAlignment="1">
      <alignment horizontal="center" vertical="center" wrapText="1"/>
    </xf>
    <xf numFmtId="165" fontId="26" fillId="12" borderId="60" xfId="0" applyNumberFormat="1" applyFont="1" applyFill="1" applyBorder="1" applyAlignment="1" applyProtection="1">
      <alignment horizontal="center" vertical="center" wrapText="1"/>
      <protection locked="0"/>
    </xf>
    <xf numFmtId="0" fontId="26" fillId="12" borderId="0" xfId="0" applyNumberFormat="1" applyFont="1" applyFill="1" applyAlignment="1">
      <alignment horizontal="center" vertical="center" wrapText="1"/>
    </xf>
    <xf numFmtId="0" fontId="26" fillId="12" borderId="60" xfId="0" applyNumberFormat="1" applyFont="1" applyFill="1" applyBorder="1" applyAlignment="1">
      <alignment horizontal="center" vertical="center" wrapText="1"/>
    </xf>
    <xf numFmtId="164" fontId="31" fillId="12" borderId="60" xfId="0" applyFont="1" applyFill="1" applyBorder="1" applyAlignment="1">
      <alignment horizontal="center" vertical="center" wrapText="1"/>
    </xf>
    <xf numFmtId="166" fontId="32" fillId="15" borderId="61" xfId="0" applyNumberFormat="1" applyFont="1" applyFill="1" applyBorder="1" applyAlignment="1" applyProtection="1">
      <alignment horizontal="center" vertical="center" wrapText="1"/>
      <protection locked="0"/>
    </xf>
    <xf numFmtId="164" fontId="31" fillId="12" borderId="0" xfId="0" applyFont="1" applyFill="1" applyAlignment="1">
      <alignment horizontal="center" vertical="center" wrapText="1"/>
    </xf>
    <xf numFmtId="0" fontId="31" fillId="12" borderId="0" xfId="0" applyNumberFormat="1" applyFont="1" applyFill="1" applyAlignment="1">
      <alignment horizontal="center" vertical="center" wrapText="1"/>
    </xf>
    <xf numFmtId="164" fontId="31" fillId="12" borderId="6" xfId="0" applyFont="1" applyFill="1" applyBorder="1" applyAlignment="1">
      <alignment horizontal="center" vertical="center" wrapText="1"/>
    </xf>
    <xf numFmtId="166" fontId="31" fillId="12" borderId="60" xfId="0" applyNumberFormat="1" applyFont="1" applyFill="1" applyBorder="1" applyAlignment="1">
      <alignment horizontal="center" vertical="center" wrapText="1"/>
    </xf>
    <xf numFmtId="167" fontId="32" fillId="15" borderId="61" xfId="0" applyNumberFormat="1" applyFont="1" applyFill="1" applyBorder="1" applyAlignment="1" applyProtection="1">
      <alignment horizontal="center" vertical="center" wrapText="1"/>
      <protection locked="0"/>
    </xf>
    <xf numFmtId="10" fontId="32" fillId="15" borderId="61" xfId="0" applyNumberFormat="1" applyFont="1" applyFill="1" applyBorder="1" applyAlignment="1" applyProtection="1">
      <alignment horizontal="center" vertical="center" wrapText="1"/>
      <protection locked="0"/>
    </xf>
    <xf numFmtId="10" fontId="32" fillId="15" borderId="61" xfId="0" applyNumberFormat="1" applyFont="1" applyFill="1" applyBorder="1" applyAlignment="1">
      <alignment horizontal="center" vertical="center" wrapText="1"/>
    </xf>
    <xf numFmtId="164" fontId="25" fillId="12" borderId="60" xfId="0" applyFont="1" applyFill="1" applyBorder="1" applyAlignment="1">
      <alignment vertical="center"/>
    </xf>
    <xf numFmtId="166" fontId="25" fillId="12" borderId="60" xfId="0" applyNumberFormat="1" applyFont="1" applyFill="1" applyBorder="1" applyAlignment="1">
      <alignment vertical="center"/>
    </xf>
    <xf numFmtId="167" fontId="28" fillId="14" borderId="60" xfId="0" applyNumberFormat="1" applyFont="1" applyFill="1" applyBorder="1" applyAlignment="1" applyProtection="1">
      <alignment horizontal="center" vertical="center"/>
      <protection locked="0"/>
    </xf>
    <xf numFmtId="10" fontId="32" fillId="15" borderId="61" xfId="0" applyNumberFormat="1" applyFont="1" applyFill="1" applyBorder="1" applyAlignment="1" applyProtection="1">
      <alignment vertical="center"/>
      <protection locked="0"/>
    </xf>
    <xf numFmtId="10" fontId="32" fillId="15" borderId="61" xfId="0" applyNumberFormat="1" applyFont="1" applyFill="1" applyBorder="1" applyAlignment="1">
      <alignment vertical="center"/>
    </xf>
    <xf numFmtId="164" fontId="25" fillId="3" borderId="60" xfId="0" applyFont="1" applyFill="1" applyBorder="1" applyAlignment="1">
      <alignment vertical="center"/>
    </xf>
    <xf numFmtId="166" fontId="25" fillId="5" borderId="60" xfId="0" applyNumberFormat="1" applyFont="1" applyFill="1" applyBorder="1" applyAlignment="1">
      <alignment vertical="center"/>
    </xf>
    <xf numFmtId="167" fontId="32" fillId="15" borderId="61" xfId="0" applyNumberFormat="1" applyFont="1" applyFill="1" applyBorder="1" applyAlignment="1" applyProtection="1">
      <alignment vertical="center"/>
      <protection locked="0"/>
    </xf>
    <xf numFmtId="164" fontId="42" fillId="18" borderId="60" xfId="0" applyFont="1" applyFill="1" applyBorder="1" applyAlignment="1">
      <alignment vertical="center"/>
    </xf>
    <xf numFmtId="166" fontId="42" fillId="16" borderId="62" xfId="0" applyNumberFormat="1" applyFont="1" applyFill="1" applyBorder="1" applyAlignment="1">
      <alignment vertical="center"/>
    </xf>
    <xf numFmtId="167" fontId="42" fillId="18" borderId="60" xfId="0" applyNumberFormat="1" applyFont="1" applyFill="1" applyBorder="1" applyAlignment="1">
      <alignment vertical="center"/>
    </xf>
    <xf numFmtId="10" fontId="42" fillId="18" borderId="60" xfId="0" applyNumberFormat="1" applyFont="1" applyFill="1" applyBorder="1" applyAlignment="1">
      <alignment vertical="center"/>
    </xf>
    <xf numFmtId="169" fontId="42" fillId="15" borderId="61" xfId="0" applyNumberFormat="1" applyFont="1" applyFill="1" applyBorder="1" applyAlignment="1">
      <alignment vertical="center"/>
    </xf>
    <xf numFmtId="164" fontId="25" fillId="8" borderId="60" xfId="0" applyFont="1" applyFill="1" applyBorder="1" applyAlignment="1">
      <alignment vertical="center"/>
    </xf>
    <xf numFmtId="169" fontId="32" fillId="15" borderId="61" xfId="0" applyNumberFormat="1" applyFont="1" applyFill="1" applyBorder="1" applyAlignment="1">
      <alignment vertical="center"/>
    </xf>
    <xf numFmtId="168" fontId="25" fillId="13" borderId="60" xfId="0" applyNumberFormat="1" applyFont="1" applyFill="1" applyBorder="1" applyAlignment="1" applyProtection="1">
      <alignment vertical="center"/>
      <protection locked="0"/>
    </xf>
    <xf numFmtId="164" fontId="25" fillId="4" borderId="60" xfId="0" applyFont="1" applyFill="1" applyBorder="1" applyAlignment="1">
      <alignment vertical="center"/>
    </xf>
    <xf numFmtId="164" fontId="25" fillId="0" borderId="60" xfId="0" applyFont="1" applyBorder="1" applyAlignment="1">
      <alignment vertical="center"/>
    </xf>
    <xf numFmtId="10" fontId="28" fillId="14" borderId="60" xfId="0" applyNumberFormat="1" applyFont="1" applyFill="1" applyBorder="1" applyAlignment="1" applyProtection="1">
      <alignment horizontal="center" vertical="center"/>
      <protection locked="0"/>
    </xf>
    <xf numFmtId="166" fontId="25" fillId="6" borderId="60" xfId="0" applyNumberFormat="1" applyFont="1" applyFill="1" applyBorder="1" applyAlignment="1">
      <alignment vertical="center"/>
    </xf>
    <xf numFmtId="10" fontId="25" fillId="3" borderId="60" xfId="0" applyNumberFormat="1" applyFont="1" applyFill="1" applyBorder="1" applyAlignment="1">
      <alignment vertical="center"/>
    </xf>
    <xf numFmtId="10" fontId="25" fillId="6" borderId="60" xfId="0" applyNumberFormat="1" applyFont="1" applyFill="1" applyBorder="1" applyAlignment="1">
      <alignment vertical="center"/>
    </xf>
    <xf numFmtId="10" fontId="25" fillId="5" borderId="60" xfId="0" applyNumberFormat="1" applyFont="1" applyFill="1" applyBorder="1" applyAlignment="1">
      <alignment vertical="center"/>
    </xf>
    <xf numFmtId="164" fontId="25" fillId="13" borderId="60" xfId="0" applyFont="1" applyFill="1" applyBorder="1" applyAlignment="1">
      <alignment vertical="center"/>
    </xf>
    <xf numFmtId="166" fontId="32" fillId="15" borderId="61" xfId="0" applyNumberFormat="1" applyFont="1" applyFill="1" applyBorder="1" applyAlignment="1" applyProtection="1">
      <alignment vertical="center"/>
      <protection locked="0"/>
    </xf>
    <xf numFmtId="10" fontId="25" fillId="8" borderId="60" xfId="0" applyNumberFormat="1" applyFont="1" applyFill="1" applyBorder="1" applyAlignment="1">
      <alignment vertical="center"/>
    </xf>
    <xf numFmtId="164" fontId="32" fillId="15" borderId="61" xfId="0" applyFont="1" applyFill="1" applyBorder="1" applyAlignment="1" applyProtection="1">
      <alignment vertical="center"/>
      <protection locked="0"/>
    </xf>
    <xf numFmtId="164" fontId="25" fillId="5" borderId="60" xfId="0" applyFont="1" applyFill="1" applyBorder="1" applyAlignment="1">
      <alignment vertical="center"/>
    </xf>
    <xf numFmtId="164" fontId="25" fillId="6" borderId="60" xfId="0" applyFont="1" applyFill="1" applyBorder="1" applyAlignment="1" applyProtection="1">
      <alignment vertical="center"/>
      <protection locked="0"/>
    </xf>
    <xf numFmtId="167" fontId="25" fillId="5" borderId="60" xfId="0" applyNumberFormat="1" applyFont="1" applyFill="1" applyBorder="1" applyAlignment="1">
      <alignment vertical="center"/>
    </xf>
    <xf numFmtId="164" fontId="32" fillId="15" borderId="61" xfId="0" applyFont="1" applyFill="1" applyBorder="1" applyAlignment="1">
      <alignment vertical="center"/>
    </xf>
    <xf numFmtId="164" fontId="25" fillId="6" borderId="60" xfId="0" applyFont="1" applyFill="1" applyBorder="1" applyAlignment="1">
      <alignment vertical="center"/>
    </xf>
    <xf numFmtId="164" fontId="25" fillId="9" borderId="60" xfId="0" applyFont="1" applyFill="1" applyBorder="1" applyAlignment="1">
      <alignment vertical="center"/>
    </xf>
    <xf numFmtId="164" fontId="25" fillId="10" borderId="60" xfId="0" applyFont="1" applyFill="1" applyBorder="1" applyAlignment="1">
      <alignment vertical="center"/>
    </xf>
    <xf numFmtId="164" fontId="25" fillId="7" borderId="60" xfId="0" applyFont="1" applyFill="1" applyBorder="1" applyAlignment="1">
      <alignment vertical="center"/>
    </xf>
    <xf numFmtId="164" fontId="32" fillId="16" borderId="62" xfId="0" applyFont="1" applyFill="1" applyBorder="1" applyAlignment="1">
      <alignment vertical="center"/>
    </xf>
    <xf numFmtId="166" fontId="42" fillId="15" borderId="61" xfId="0" applyNumberFormat="1" applyFont="1" applyFill="1" applyBorder="1" applyAlignment="1" applyProtection="1">
      <alignment vertical="center"/>
      <protection locked="0"/>
    </xf>
    <xf numFmtId="166" fontId="42" fillId="15" borderId="61" xfId="0" applyNumberFormat="1" applyFont="1" applyFill="1" applyBorder="1" applyAlignment="1">
      <alignment vertical="center"/>
    </xf>
    <xf numFmtId="166" fontId="32" fillId="15" borderId="61" xfId="0" applyNumberFormat="1" applyFont="1" applyFill="1" applyBorder="1" applyAlignment="1">
      <alignment vertical="center"/>
    </xf>
    <xf numFmtId="4" fontId="32" fillId="15" borderId="61" xfId="0" applyNumberFormat="1" applyFont="1" applyFill="1" applyBorder="1" applyAlignment="1">
      <alignment vertical="center"/>
    </xf>
    <xf numFmtId="170" fontId="42" fillId="18" borderId="60" xfId="0" applyNumberFormat="1" applyFont="1" applyFill="1" applyBorder="1" applyAlignment="1">
      <alignment vertical="center"/>
    </xf>
    <xf numFmtId="10" fontId="25" fillId="6" borderId="60" xfId="0" applyNumberFormat="1" applyFont="1" applyFill="1" applyBorder="1" applyAlignment="1" applyProtection="1">
      <alignment vertical="center"/>
      <protection locked="0"/>
    </xf>
    <xf numFmtId="169" fontId="32" fillId="15" borderId="61" xfId="0" applyNumberFormat="1" applyFont="1" applyFill="1" applyBorder="1" applyAlignment="1" applyProtection="1">
      <alignment vertical="center"/>
      <protection locked="0"/>
    </xf>
    <xf numFmtId="171" fontId="32" fillId="15" borderId="61" xfId="0" applyNumberFormat="1" applyFont="1" applyFill="1" applyBorder="1" applyAlignment="1" applyProtection="1">
      <alignment vertical="center"/>
      <protection locked="0"/>
    </xf>
    <xf numFmtId="9" fontId="25" fillId="6" borderId="60" xfId="0" applyNumberFormat="1" applyFont="1" applyFill="1" applyBorder="1" applyAlignment="1" applyProtection="1">
      <alignment vertical="center"/>
      <protection locked="0"/>
    </xf>
    <xf numFmtId="164" fontId="25" fillId="3" borderId="60" xfId="0" applyFont="1" applyFill="1" applyBorder="1" applyAlignment="1" applyProtection="1">
      <alignment vertical="center"/>
      <protection locked="0"/>
    </xf>
    <xf numFmtId="166" fontId="25" fillId="3" borderId="60" xfId="0" applyNumberFormat="1" applyFont="1" applyFill="1" applyBorder="1" applyAlignment="1" applyProtection="1">
      <alignment vertical="center"/>
      <protection locked="0"/>
    </xf>
    <xf numFmtId="164" fontId="25" fillId="13" borderId="60" xfId="0" applyFont="1" applyFill="1" applyBorder="1" applyAlignment="1" applyProtection="1">
      <alignment vertical="center"/>
      <protection locked="0"/>
    </xf>
    <xf numFmtId="9" fontId="25" fillId="5" borderId="60" xfId="0" applyNumberFormat="1" applyFont="1" applyFill="1" applyBorder="1" applyAlignment="1">
      <alignment vertical="center"/>
    </xf>
    <xf numFmtId="9" fontId="32" fillId="15" borderId="61" xfId="0" applyNumberFormat="1" applyFont="1" applyFill="1" applyBorder="1" applyAlignment="1">
      <alignment vertical="center"/>
    </xf>
    <xf numFmtId="9" fontId="25" fillId="3" borderId="60" xfId="0" applyNumberFormat="1" applyFont="1" applyFill="1" applyBorder="1" applyAlignment="1" applyProtection="1">
      <alignment vertical="center"/>
      <protection locked="0"/>
    </xf>
    <xf numFmtId="9" fontId="42" fillId="18" borderId="60" xfId="0" applyNumberFormat="1" applyFont="1" applyFill="1" applyBorder="1" applyAlignment="1" applyProtection="1">
      <alignment vertical="center"/>
      <protection locked="0"/>
    </xf>
    <xf numFmtId="166" fontId="25" fillId="4" borderId="60" xfId="0" applyNumberFormat="1" applyFont="1" applyFill="1" applyBorder="1" applyAlignment="1">
      <alignment vertical="center"/>
    </xf>
    <xf numFmtId="169" fontId="42" fillId="18" borderId="60" xfId="0" applyNumberFormat="1" applyFont="1" applyFill="1" applyBorder="1" applyAlignment="1">
      <alignment vertical="center"/>
    </xf>
    <xf numFmtId="164" fontId="42" fillId="18" borderId="60" xfId="0" applyFont="1" applyFill="1" applyBorder="1" applyAlignment="1" applyProtection="1">
      <alignment vertical="center"/>
      <protection locked="0"/>
    </xf>
    <xf numFmtId="166" fontId="25" fillId="6" borderId="60" xfId="0" applyNumberFormat="1" applyFont="1" applyFill="1" applyBorder="1" applyAlignment="1" applyProtection="1">
      <alignment vertical="center"/>
      <protection locked="0"/>
    </xf>
    <xf numFmtId="10" fontId="25" fillId="3" borderId="60" xfId="0" applyNumberFormat="1" applyFont="1" applyFill="1" applyBorder="1" applyAlignment="1" applyProtection="1">
      <alignment vertical="center"/>
      <protection locked="0"/>
    </xf>
    <xf numFmtId="165" fontId="42" fillId="18" borderId="60" xfId="0" applyNumberFormat="1" applyFont="1" applyFill="1" applyBorder="1" applyAlignment="1">
      <alignment vertical="center"/>
    </xf>
    <xf numFmtId="3" fontId="42" fillId="18" borderId="60" xfId="0" applyNumberFormat="1" applyFont="1" applyFill="1" applyBorder="1" applyAlignment="1">
      <alignment vertical="center"/>
    </xf>
    <xf numFmtId="3" fontId="25" fillId="8" borderId="60" xfId="0" applyNumberFormat="1" applyFont="1" applyFill="1" applyBorder="1" applyAlignment="1">
      <alignment vertical="center"/>
    </xf>
    <xf numFmtId="3" fontId="32" fillId="16" borderId="62" xfId="0" applyNumberFormat="1" applyFont="1" applyFill="1" applyBorder="1" applyAlignment="1">
      <alignment vertical="center"/>
    </xf>
    <xf numFmtId="10" fontId="25" fillId="7" borderId="60" xfId="0" applyNumberFormat="1" applyFont="1" applyFill="1" applyBorder="1" applyAlignment="1">
      <alignment vertical="center"/>
    </xf>
    <xf numFmtId="3" fontId="25" fillId="7" borderId="60" xfId="0" applyNumberFormat="1" applyFont="1" applyFill="1" applyBorder="1" applyAlignment="1">
      <alignment vertical="center"/>
    </xf>
    <xf numFmtId="10" fontId="25" fillId="13" borderId="60" xfId="0" applyNumberFormat="1" applyFont="1" applyFill="1" applyBorder="1" applyAlignment="1">
      <alignment vertical="center"/>
    </xf>
    <xf numFmtId="173" fontId="25" fillId="13" borderId="60" xfId="0" applyNumberFormat="1" applyFont="1" applyFill="1" applyBorder="1" applyAlignment="1">
      <alignment vertical="center"/>
    </xf>
    <xf numFmtId="173" fontId="25" fillId="0" borderId="60" xfId="0" applyNumberFormat="1" applyFont="1" applyBorder="1" applyAlignment="1">
      <alignment vertical="center"/>
    </xf>
    <xf numFmtId="10" fontId="25" fillId="0" borderId="60" xfId="0" applyNumberFormat="1" applyFont="1" applyBorder="1" applyAlignment="1">
      <alignment vertical="center"/>
    </xf>
    <xf numFmtId="3" fontId="25" fillId="13" borderId="60" xfId="0" applyNumberFormat="1" applyFont="1" applyFill="1" applyBorder="1" applyAlignment="1">
      <alignment vertical="center"/>
    </xf>
    <xf numFmtId="10" fontId="32" fillId="16" borderId="62" xfId="0" applyNumberFormat="1" applyFont="1" applyFill="1" applyBorder="1" applyAlignment="1">
      <alignment vertical="center"/>
    </xf>
    <xf numFmtId="0" fontId="29" fillId="0" borderId="59" xfId="0" applyNumberFormat="1" applyFont="1" applyBorder="1"/>
    <xf numFmtId="0" fontId="28" fillId="0" borderId="59" xfId="0" applyNumberFormat="1" applyFont="1" applyBorder="1"/>
    <xf numFmtId="0" fontId="30" fillId="0" borderId="59" xfId="0" applyNumberFormat="1" applyFont="1" applyBorder="1"/>
    <xf numFmtId="0" fontId="0" fillId="0" borderId="59" xfId="0" applyNumberFormat="1" applyBorder="1"/>
    <xf numFmtId="0" fontId="29" fillId="12" borderId="59" xfId="0" applyNumberFormat="1" applyFont="1" applyFill="1" applyBorder="1"/>
    <xf numFmtId="0" fontId="43" fillId="15" borderId="59" xfId="0" applyNumberFormat="1" applyFont="1" applyFill="1" applyBorder="1"/>
    <xf numFmtId="0" fontId="28" fillId="14" borderId="59" xfId="0" applyNumberFormat="1" applyFont="1" applyFill="1" applyBorder="1"/>
    <xf numFmtId="0" fontId="43" fillId="16" borderId="59" xfId="0" applyNumberFormat="1" applyFont="1" applyFill="1" applyBorder="1"/>
    <xf numFmtId="0" fontId="44" fillId="0" borderId="59" xfId="0" applyNumberFormat="1" applyFont="1" applyBorder="1"/>
    <xf numFmtId="0" fontId="25" fillId="0" borderId="52" xfId="0" applyNumberFormat="1" applyFont="1" applyBorder="1" applyAlignment="1">
      <alignment vertical="center"/>
    </xf>
    <xf numFmtId="0" fontId="0" fillId="0" borderId="54" xfId="0" applyNumberFormat="1" applyBorder="1"/>
    <xf numFmtId="0" fontId="0" fillId="0" borderId="55" xfId="0" applyNumberFormat="1" applyBorder="1"/>
    <xf numFmtId="0" fontId="35" fillId="12" borderId="0" xfId="0" applyNumberFormat="1" applyFont="1" applyFill="1" applyAlignment="1">
      <alignment horizontal="left" vertical="center"/>
    </xf>
    <xf numFmtId="0" fontId="0" fillId="0" borderId="0" xfId="0" applyNumberFormat="1"/>
    <xf numFmtId="0" fontId="34" fillId="14" borderId="0" xfId="0" applyNumberFormat="1" applyFont="1" applyFill="1" applyAlignment="1">
      <alignment horizontal="center"/>
    </xf>
    <xf numFmtId="0" fontId="34" fillId="15" borderId="0" xfId="0" applyNumberFormat="1" applyFont="1" applyFill="1" applyAlignment="1">
      <alignment horizontal="center"/>
    </xf>
    <xf numFmtId="0" fontId="34" fillId="16" borderId="0" xfId="0" applyNumberFormat="1" applyFont="1" applyFill="1" applyAlignment="1">
      <alignment horizontal="center"/>
    </xf>
    <xf numFmtId="0" fontId="41" fillId="0" borderId="0" xfId="0" applyNumberFormat="1" applyFont="1"/>
    <xf numFmtId="0" fontId="26" fillId="12" borderId="0" xfId="0" applyNumberFormat="1" applyFont="1" applyFill="1" applyAlignment="1">
      <alignment horizontal="left"/>
    </xf>
    <xf numFmtId="0" fontId="38" fillId="14" borderId="0" xfId="0" applyNumberFormat="1" applyFont="1" applyFill="1" applyAlignment="1">
      <alignment horizontal="center"/>
    </xf>
    <xf numFmtId="0" fontId="37" fillId="15" borderId="0" xfId="0" applyNumberFormat="1" applyFont="1" applyFill="1" applyAlignment="1">
      <alignment horizontal="center"/>
    </xf>
    <xf numFmtId="0" fontId="36" fillId="0" borderId="0" xfId="0" applyNumberFormat="1" applyFont="1" applyAlignment="1">
      <alignment vertical="center"/>
    </xf>
    <xf numFmtId="0" fontId="37" fillId="16" borderId="0" xfId="0" applyNumberFormat="1" applyFont="1" applyFill="1" applyAlignment="1">
      <alignment horizontal="center"/>
    </xf>
    <xf numFmtId="0" fontId="27" fillId="12" borderId="0" xfId="0" applyNumberFormat="1" applyFont="1" applyFill="1" applyAlignment="1">
      <alignment horizontal="center" vertical="center"/>
    </xf>
    <xf numFmtId="164" fontId="2" fillId="0" borderId="0" xfId="0" applyFont="1"/>
    <xf numFmtId="164" fontId="25" fillId="4" borderId="60" xfId="0" applyFont="1" applyFill="1" applyBorder="1" applyAlignment="1">
      <alignment vertical="center"/>
    </xf>
    <xf numFmtId="164" fontId="25" fillId="13" borderId="60" xfId="0" applyFont="1" applyFill="1" applyBorder="1" applyAlignment="1">
      <alignment vertical="center"/>
    </xf>
    <xf numFmtId="168" fontId="3" fillId="0" borderId="7" xfId="0" applyNumberFormat="1" applyFont="1" applyBorder="1" applyAlignment="1" applyProtection="1">
      <alignment horizontal="center" wrapText="1"/>
      <protection locked="0"/>
    </xf>
    <xf numFmtId="0" fontId="0" fillId="0" borderId="0" xfId="0" applyNumberFormat="1" applyProtection="1">
      <protection locked="0"/>
    </xf>
    <xf numFmtId="0" fontId="0" fillId="0" borderId="6" xfId="0" applyNumberFormat="1" applyBorder="1" applyProtection="1">
      <protection locked="0"/>
    </xf>
    <xf numFmtId="164" fontId="25" fillId="10" borderId="60" xfId="0" applyFont="1" applyFill="1" applyBorder="1" applyAlignment="1">
      <alignment vertical="center"/>
    </xf>
    <xf numFmtId="164" fontId="42" fillId="18" borderId="60" xfId="0" applyFont="1" applyFill="1" applyBorder="1" applyAlignment="1">
      <alignment vertical="center"/>
    </xf>
    <xf numFmtId="0" fontId="0" fillId="0" borderId="56" xfId="0" applyNumberFormat="1" applyBorder="1"/>
    <xf numFmtId="0" fontId="34" fillId="14" borderId="0" xfId="0" applyNumberFormat="1" applyFont="1" applyFill="1" applyAlignment="1">
      <alignment horizontal="center" vertical="center" wrapText="1"/>
    </xf>
    <xf numFmtId="0" fontId="42" fillId="18" borderId="0" xfId="0" applyNumberFormat="1" applyFont="1" applyFill="1" applyAlignment="1">
      <alignment horizontal="center" vertical="center" wrapText="1"/>
    </xf>
    <xf numFmtId="164" fontId="26" fillId="12" borderId="1" xfId="0" applyFont="1" applyFill="1" applyBorder="1" applyAlignment="1" applyProtection="1">
      <alignment horizontal="center" vertical="center" wrapText="1"/>
      <protection locked="0"/>
    </xf>
    <xf numFmtId="0" fontId="26" fillId="12" borderId="3" xfId="0" applyNumberFormat="1" applyFont="1" applyFill="1" applyBorder="1" applyAlignment="1" applyProtection="1">
      <alignment horizontal="center" vertical="center" wrapText="1"/>
      <protection locked="0"/>
    </xf>
    <xf numFmtId="164" fontId="25" fillId="8" borderId="60" xfId="0" applyFont="1" applyFill="1" applyBorder="1" applyAlignment="1">
      <alignment vertical="center"/>
    </xf>
    <xf numFmtId="0" fontId="0" fillId="0" borderId="53" xfId="0" applyNumberFormat="1" applyBorder="1"/>
    <xf numFmtId="0" fontId="0" fillId="0" borderId="57" xfId="0" applyNumberFormat="1" applyBorder="1"/>
    <xf numFmtId="0" fontId="0" fillId="0" borderId="58" xfId="0" applyNumberFormat="1" applyBorder="1"/>
    <xf numFmtId="164" fontId="31" fillId="12" borderId="60" xfId="0" applyFont="1" applyFill="1" applyBorder="1" applyAlignment="1">
      <alignment horizontal="center" vertical="center" wrapText="1"/>
    </xf>
    <xf numFmtId="0" fontId="31" fillId="12" borderId="55" xfId="0" applyNumberFormat="1" applyFont="1" applyFill="1" applyBorder="1" applyAlignment="1">
      <alignment horizontal="center" vertical="center" wrapText="1"/>
    </xf>
    <xf numFmtId="164" fontId="25" fillId="2" borderId="60" xfId="0" applyFont="1" applyFill="1" applyBorder="1" applyAlignment="1">
      <alignment vertical="center"/>
    </xf>
    <xf numFmtId="3" fontId="25" fillId="4" borderId="60" xfId="0" applyNumberFormat="1" applyFont="1" applyFill="1" applyBorder="1" applyAlignment="1">
      <alignment vertical="center"/>
    </xf>
    <xf numFmtId="167" fontId="42" fillId="18" borderId="60" xfId="0" applyNumberFormat="1" applyFont="1" applyFill="1" applyBorder="1" applyAlignment="1">
      <alignment vertical="center"/>
    </xf>
    <xf numFmtId="164" fontId="31" fillId="12" borderId="60" xfId="0" applyFont="1" applyFill="1" applyBorder="1" applyAlignment="1" applyProtection="1">
      <alignment horizontal="center" vertical="center" wrapText="1"/>
      <protection locked="0"/>
    </xf>
    <xf numFmtId="0" fontId="31" fillId="12" borderId="54" xfId="0" applyNumberFormat="1" applyFont="1" applyFill="1" applyBorder="1" applyAlignment="1" applyProtection="1">
      <alignment horizontal="center" vertical="center" wrapText="1"/>
      <protection locked="0"/>
    </xf>
    <xf numFmtId="0" fontId="31" fillId="12" borderId="55" xfId="0" applyNumberFormat="1" applyFont="1" applyFill="1" applyBorder="1" applyAlignment="1" applyProtection="1">
      <alignment horizontal="center" vertical="center" wrapText="1"/>
      <protection locked="0"/>
    </xf>
    <xf numFmtId="164" fontId="25" fillId="7" borderId="60" xfId="0" applyFont="1" applyFill="1" applyBorder="1" applyAlignment="1">
      <alignment vertical="center"/>
    </xf>
    <xf numFmtId="168" fontId="31" fillId="12" borderId="4" xfId="0" applyNumberFormat="1" applyFont="1" applyFill="1" applyBorder="1" applyAlignment="1" applyProtection="1">
      <alignment horizontal="center" vertical="center" wrapText="1"/>
      <protection locked="0"/>
    </xf>
    <xf numFmtId="0" fontId="31" fillId="12" borderId="21" xfId="0" applyNumberFormat="1" applyFont="1" applyFill="1" applyBorder="1" applyAlignment="1" applyProtection="1">
      <alignment horizontal="center" vertical="center" wrapText="1"/>
      <protection locked="0"/>
    </xf>
    <xf numFmtId="0" fontId="31" fillId="12" borderId="9" xfId="0" applyNumberFormat="1" applyFont="1" applyFill="1" applyBorder="1" applyAlignment="1" applyProtection="1">
      <alignment horizontal="center" vertical="center" wrapText="1"/>
      <protection locked="0"/>
    </xf>
    <xf numFmtId="164" fontId="25" fillId="11" borderId="60" xfId="0" applyFont="1" applyFill="1" applyBorder="1" applyAlignment="1">
      <alignment vertical="center"/>
    </xf>
    <xf numFmtId="0" fontId="33" fillId="17" borderId="0" xfId="0" applyNumberFormat="1" applyFont="1" applyFill="1" applyAlignment="1">
      <alignment horizontal="center" vertical="center"/>
    </xf>
    <xf numFmtId="164" fontId="26" fillId="12" borderId="3" xfId="0" applyFont="1" applyFill="1" applyBorder="1" applyAlignment="1" applyProtection="1">
      <alignment horizontal="center" vertical="center" wrapText="1"/>
      <protection locked="0"/>
    </xf>
    <xf numFmtId="0" fontId="26" fillId="12" borderId="13" xfId="0" applyNumberFormat="1" applyFont="1" applyFill="1" applyBorder="1" applyAlignment="1" applyProtection="1">
      <alignment horizontal="center" vertical="center" wrapText="1"/>
      <protection locked="0"/>
    </xf>
    <xf numFmtId="168" fontId="6" fillId="0" borderId="7" xfId="0" applyNumberFormat="1" applyFont="1" applyBorder="1" applyAlignment="1" applyProtection="1">
      <alignment horizontal="center" wrapText="1"/>
      <protection locked="0"/>
    </xf>
    <xf numFmtId="0" fontId="34" fillId="15" borderId="0" xfId="0" applyNumberFormat="1" applyFont="1" applyFill="1" applyAlignment="1">
      <alignment horizontal="center" vertical="center" wrapText="1"/>
    </xf>
    <xf numFmtId="164" fontId="25" fillId="7" borderId="52" xfId="0" applyFont="1" applyFill="1" applyBorder="1" applyAlignment="1">
      <alignment vertical="center"/>
    </xf>
    <xf numFmtId="164" fontId="27" fillId="12" borderId="52" xfId="0" applyFont="1" applyFill="1" applyBorder="1" applyAlignment="1">
      <alignment horizontal="center" vertical="center" wrapText="1"/>
    </xf>
    <xf numFmtId="164" fontId="25" fillId="0" borderId="52" xfId="0" applyFont="1" applyBorder="1" applyAlignment="1">
      <alignment vertical="center"/>
    </xf>
    <xf numFmtId="169" fontId="25" fillId="7" borderId="52" xfId="0" applyNumberFormat="1" applyFont="1" applyFill="1" applyBorder="1" applyAlignment="1">
      <alignment vertical="center"/>
    </xf>
    <xf numFmtId="169" fontId="25" fillId="0" borderId="52" xfId="0" applyNumberFormat="1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996666"/>
      <rgbColor rgb="FF9999FF"/>
      <rgbColor rgb="FF993366"/>
      <rgbColor rgb="FFE7E6E6"/>
      <rgbColor rgb="FFD9EAF7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showGridLines="0" tabSelected="1" zoomScale="90" workbookViewId="0">
      <pane ySplit="6" topLeftCell="A7" activePane="bottomLeft" state="frozen"/>
      <selection activeCell="K25" sqref="K25"/>
      <selection pane="bottomLeft" activeCell="K25" sqref="K25"/>
    </sheetView>
  </sheetViews>
  <sheetFormatPr defaultRowHeight="13.5" x14ac:dyDescent="0.25"/>
  <cols>
    <col min="1" max="1" width="31.375" style="1" customWidth="1"/>
    <col min="2" max="6" width="22" style="1" customWidth="1"/>
    <col min="12" max="12" width="10.375" customWidth="1"/>
  </cols>
  <sheetData>
    <row r="1" spans="1:6" ht="36" customHeight="1" x14ac:dyDescent="0.25">
      <c r="A1" s="295" t="s">
        <v>0</v>
      </c>
      <c r="B1" s="296"/>
      <c r="C1" s="296"/>
      <c r="D1" s="296"/>
      <c r="E1" s="296"/>
      <c r="F1" s="296"/>
    </row>
    <row r="2" spans="1:6" ht="21.95" customHeight="1" x14ac:dyDescent="0.25">
      <c r="A2" s="304" t="s">
        <v>1</v>
      </c>
      <c r="B2" s="296"/>
      <c r="C2" s="296"/>
      <c r="D2" s="296"/>
      <c r="E2" s="296"/>
      <c r="F2" s="296"/>
    </row>
    <row r="4" spans="1:6" x14ac:dyDescent="0.25">
      <c r="A4" s="303" t="s">
        <v>2</v>
      </c>
      <c r="B4" s="296"/>
      <c r="C4" s="302" t="s">
        <v>3</v>
      </c>
      <c r="D4" s="296"/>
      <c r="E4" s="305" t="s">
        <v>4</v>
      </c>
      <c r="F4" s="296"/>
    </row>
    <row r="5" spans="1:6" x14ac:dyDescent="0.25">
      <c r="A5" s="298" t="s">
        <v>5</v>
      </c>
      <c r="B5" s="296"/>
      <c r="C5" s="297" t="s">
        <v>6</v>
      </c>
      <c r="D5" s="296"/>
      <c r="E5" s="299" t="s">
        <v>7</v>
      </c>
      <c r="F5" s="296"/>
    </row>
    <row r="7" spans="1:6" x14ac:dyDescent="0.25">
      <c r="A7" s="195" t="s">
        <v>8</v>
      </c>
      <c r="B7" s="195" t="s">
        <v>9</v>
      </c>
      <c r="C7" s="195" t="s">
        <v>10</v>
      </c>
      <c r="D7" s="195" t="s">
        <v>11</v>
      </c>
      <c r="E7" s="195" t="s">
        <v>12</v>
      </c>
      <c r="F7" s="195" t="s">
        <v>13</v>
      </c>
    </row>
    <row r="8" spans="1:6" ht="30" customHeight="1" x14ac:dyDescent="0.25">
      <c r="A8" s="196" t="s">
        <v>14</v>
      </c>
      <c r="B8" s="197" t="s">
        <v>15</v>
      </c>
      <c r="C8" s="197" t="s">
        <v>16</v>
      </c>
      <c r="D8" s="197" t="s">
        <v>17</v>
      </c>
      <c r="E8" s="198" t="s">
        <v>18</v>
      </c>
      <c r="F8" s="197" t="s">
        <v>19</v>
      </c>
    </row>
    <row r="9" spans="1:6" ht="30" customHeight="1" x14ac:dyDescent="0.25">
      <c r="A9" s="196" t="s">
        <v>20</v>
      </c>
      <c r="B9" s="197" t="s">
        <v>21</v>
      </c>
      <c r="C9" s="197" t="s">
        <v>22</v>
      </c>
      <c r="D9" s="197" t="s">
        <v>23</v>
      </c>
      <c r="E9" s="198" t="s">
        <v>24</v>
      </c>
      <c r="F9" s="197" t="s">
        <v>25</v>
      </c>
    </row>
    <row r="12" spans="1:6" ht="15.75" x14ac:dyDescent="0.25">
      <c r="A12" s="301" t="s">
        <v>26</v>
      </c>
      <c r="B12" s="296"/>
      <c r="C12" s="296"/>
      <c r="D12" s="296"/>
      <c r="E12" s="296"/>
      <c r="F12" s="296"/>
    </row>
    <row r="13" spans="1:6" x14ac:dyDescent="0.25">
      <c r="A13" s="199" t="s">
        <v>27</v>
      </c>
      <c r="B13" s="200">
        <v>4.3400000000000001E-2</v>
      </c>
      <c r="C13" s="300" t="s">
        <v>28</v>
      </c>
      <c r="D13" s="296"/>
      <c r="E13" s="296"/>
      <c r="F13" s="296"/>
    </row>
    <row r="14" spans="1:6" x14ac:dyDescent="0.25">
      <c r="A14" s="199" t="s">
        <v>29</v>
      </c>
      <c r="B14" s="200">
        <v>6.4999999999999997E-3</v>
      </c>
      <c r="C14" s="300" t="s">
        <v>30</v>
      </c>
      <c r="D14" s="296"/>
      <c r="E14" s="296"/>
      <c r="F14" s="296"/>
    </row>
    <row r="15" spans="1:6" x14ac:dyDescent="0.25">
      <c r="A15" s="199" t="s">
        <v>31</v>
      </c>
      <c r="B15" s="200">
        <v>2.9000000000000001E-2</v>
      </c>
      <c r="C15" s="300" t="s">
        <v>32</v>
      </c>
      <c r="D15" s="296"/>
      <c r="E15" s="296"/>
      <c r="F15" s="296"/>
    </row>
    <row r="16" spans="1:6" x14ac:dyDescent="0.25">
      <c r="A16" s="199" t="s">
        <v>33</v>
      </c>
      <c r="B16" s="200">
        <v>0.24</v>
      </c>
      <c r="C16" s="300" t="s">
        <v>34</v>
      </c>
      <c r="D16" s="296"/>
      <c r="E16" s="296"/>
      <c r="F16" s="296"/>
    </row>
    <row r="17" spans="1:6" x14ac:dyDescent="0.25">
      <c r="A17" s="199" t="s">
        <v>35</v>
      </c>
      <c r="B17" s="200">
        <v>3.9E-2</v>
      </c>
      <c r="C17" s="300" t="s">
        <v>34</v>
      </c>
      <c r="D17" s="296"/>
      <c r="E17" s="296"/>
      <c r="F17" s="296"/>
    </row>
    <row r="18" spans="1:6" x14ac:dyDescent="0.25">
      <c r="A18" s="199" t="s">
        <v>36</v>
      </c>
      <c r="B18" s="200">
        <v>0.22</v>
      </c>
      <c r="C18" s="300" t="s">
        <v>37</v>
      </c>
      <c r="D18" s="296"/>
      <c r="E18" s="296"/>
      <c r="F18" s="296"/>
    </row>
  </sheetData>
  <mergeCells count="15">
    <mergeCell ref="C18:F18"/>
    <mergeCell ref="C17:F17"/>
    <mergeCell ref="A1:F1"/>
    <mergeCell ref="C5:D5"/>
    <mergeCell ref="A5:B5"/>
    <mergeCell ref="E5:F5"/>
    <mergeCell ref="C16:F16"/>
    <mergeCell ref="C15:F15"/>
    <mergeCell ref="A12:F12"/>
    <mergeCell ref="C14:F14"/>
    <mergeCell ref="C4:D4"/>
    <mergeCell ref="A4:B4"/>
    <mergeCell ref="A2:F2"/>
    <mergeCell ref="E4:F4"/>
    <mergeCell ref="C13:F13"/>
  </mergeCells>
  <hyperlinks>
    <hyperlink ref="A8" location="'APRI'!A1" display="APRI" xr:uid="{00000000-0004-0000-0000-000000000000}"/>
    <hyperlink ref="A9" location="'AGGIORNAMENTO 2026'!A1" display="AGGIORNAMENTO 2026" xr:uid="{00000000-0004-0000-0000-000001000000}"/>
  </hyperlinks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6"/>
  <sheetViews>
    <sheetView showGridLines="0" tabSelected="1" zoomScale="90" zoomScaleNormal="100" workbookViewId="0">
      <pane ySplit="4" topLeftCell="A5" activePane="bottomLeft" state="frozen"/>
      <selection activeCell="K25" sqref="K25"/>
      <selection pane="bottomLeft" activeCell="K25" sqref="K25"/>
    </sheetView>
  </sheetViews>
  <sheetFormatPr defaultColWidth="8.625" defaultRowHeight="15" customHeight="1" x14ac:dyDescent="0.25"/>
  <cols>
    <col min="1" max="1" width="31.375" style="1" customWidth="1"/>
    <col min="2" max="3" width="16" style="1" customWidth="1"/>
    <col min="4" max="4" width="22" style="1" customWidth="1"/>
    <col min="5" max="5" width="52" style="1" customWidth="1"/>
    <col min="6" max="6" width="18" style="1" customWidth="1"/>
    <col min="12" max="12" width="10.375" customWidth="1"/>
  </cols>
  <sheetData>
    <row r="1" spans="1:6" ht="20.100000000000001" customHeight="1" x14ac:dyDescent="0.25">
      <c r="A1" s="175" t="s">
        <v>38</v>
      </c>
      <c r="B1" s="2"/>
      <c r="C1" s="2"/>
      <c r="D1" s="2"/>
      <c r="E1" s="2"/>
      <c r="F1" s="2"/>
    </row>
    <row r="2" spans="1:6" ht="20.100000000000001" customHeight="1" x14ac:dyDescent="0.25">
      <c r="A2" s="175" t="s">
        <v>39</v>
      </c>
      <c r="B2" s="176" t="s">
        <v>40</v>
      </c>
      <c r="C2" s="3"/>
      <c r="D2" s="3"/>
      <c r="E2" s="3"/>
      <c r="F2" s="3"/>
    </row>
    <row r="3" spans="1:6" ht="20.100000000000001" customHeight="1" x14ac:dyDescent="0.25">
      <c r="A3" s="176" t="s">
        <v>41</v>
      </c>
      <c r="B3" s="176" t="s">
        <v>42</v>
      </c>
      <c r="C3" s="3"/>
      <c r="D3" s="3"/>
      <c r="E3" s="3"/>
      <c r="F3" s="3"/>
    </row>
    <row r="4" spans="1:6" ht="20.100000000000001" customHeight="1" x14ac:dyDescent="0.25">
      <c r="A4" s="176" t="s">
        <v>43</v>
      </c>
      <c r="B4" s="175" t="s">
        <v>44</v>
      </c>
      <c r="C4" s="3"/>
      <c r="D4" s="3"/>
      <c r="E4" s="3"/>
      <c r="F4" s="3"/>
    </row>
    <row r="5" spans="1:6" ht="20.100000000000001" customHeight="1" x14ac:dyDescent="0.25">
      <c r="A5" s="177" t="s">
        <v>45</v>
      </c>
      <c r="B5" s="177" t="s">
        <v>46</v>
      </c>
      <c r="C5" s="3"/>
      <c r="D5" s="3"/>
      <c r="E5" s="3"/>
      <c r="F5" s="3"/>
    </row>
    <row r="6" spans="1:6" ht="20.100000000000001" customHeight="1" x14ac:dyDescent="0.25">
      <c r="A6" s="3"/>
      <c r="B6" s="3"/>
      <c r="C6" s="3"/>
      <c r="D6" s="3"/>
      <c r="E6" s="3"/>
      <c r="F6" s="3"/>
    </row>
    <row r="7" spans="1:6" ht="20.100000000000001" customHeight="1" x14ac:dyDescent="0.25">
      <c r="A7" s="178" t="s">
        <v>47</v>
      </c>
      <c r="B7" s="178" t="s">
        <v>48</v>
      </c>
      <c r="C7" s="178" t="s">
        <v>49</v>
      </c>
      <c r="D7" s="179" t="s">
        <v>50</v>
      </c>
      <c r="E7" s="178" t="s">
        <v>51</v>
      </c>
      <c r="F7" s="178" t="s">
        <v>13</v>
      </c>
    </row>
    <row r="8" spans="1:6" ht="20.100000000000001" customHeight="1" x14ac:dyDescent="0.25">
      <c r="A8" s="177" t="s">
        <v>52</v>
      </c>
      <c r="B8" s="177" t="s">
        <v>53</v>
      </c>
      <c r="C8" s="177" t="s">
        <v>54</v>
      </c>
      <c r="D8" s="177" t="s">
        <v>40</v>
      </c>
      <c r="E8" s="177" t="s">
        <v>55</v>
      </c>
      <c r="F8" s="180" t="s">
        <v>56</v>
      </c>
    </row>
    <row r="9" spans="1:6" ht="20.100000000000001" customHeight="1" x14ac:dyDescent="0.25">
      <c r="A9" s="177" t="s">
        <v>57</v>
      </c>
      <c r="B9" s="177" t="s">
        <v>58</v>
      </c>
      <c r="C9" s="177" t="s">
        <v>59</v>
      </c>
      <c r="D9" s="177" t="s">
        <v>60</v>
      </c>
      <c r="E9" s="177" t="s">
        <v>61</v>
      </c>
      <c r="F9" s="177" t="s">
        <v>62</v>
      </c>
    </row>
    <row r="10" spans="1:6" ht="20.100000000000001" customHeight="1" x14ac:dyDescent="0.25">
      <c r="A10" s="177" t="s">
        <v>63</v>
      </c>
      <c r="B10" s="177" t="s">
        <v>64</v>
      </c>
      <c r="C10" s="177" t="s">
        <v>59</v>
      </c>
      <c r="D10" s="177" t="s">
        <v>60</v>
      </c>
      <c r="E10" s="177" t="s">
        <v>61</v>
      </c>
      <c r="F10" s="177" t="s">
        <v>65</v>
      </c>
    </row>
    <row r="11" spans="1:6" ht="20.100000000000001" customHeight="1" x14ac:dyDescent="0.25">
      <c r="A11" s="177" t="s">
        <v>66</v>
      </c>
      <c r="B11" s="177" t="s">
        <v>67</v>
      </c>
      <c r="C11" s="177" t="s">
        <v>68</v>
      </c>
      <c r="D11" s="177" t="s">
        <v>69</v>
      </c>
      <c r="E11" s="177" t="s">
        <v>70</v>
      </c>
      <c r="F11" s="177" t="s">
        <v>71</v>
      </c>
    </row>
    <row r="12" spans="1:6" ht="20.100000000000001" customHeight="1" x14ac:dyDescent="0.25">
      <c r="A12" s="177" t="s">
        <v>72</v>
      </c>
      <c r="B12" s="177" t="s">
        <v>73</v>
      </c>
      <c r="C12" s="177" t="s">
        <v>74</v>
      </c>
      <c r="D12" s="177" t="s">
        <v>75</v>
      </c>
      <c r="E12" s="177" t="s">
        <v>70</v>
      </c>
      <c r="F12" s="177" t="s">
        <v>76</v>
      </c>
    </row>
    <row r="13" spans="1:6" ht="20.100000000000001" customHeight="1" x14ac:dyDescent="0.25">
      <c r="A13" s="177" t="s">
        <v>35</v>
      </c>
      <c r="B13" s="177" t="s">
        <v>77</v>
      </c>
      <c r="C13" s="177" t="s">
        <v>78</v>
      </c>
      <c r="D13" s="177" t="s">
        <v>79</v>
      </c>
      <c r="E13" s="177" t="s">
        <v>80</v>
      </c>
      <c r="F13" s="177" t="s">
        <v>81</v>
      </c>
    </row>
    <row r="14" spans="1:6" ht="20.100000000000001" customHeight="1" x14ac:dyDescent="0.25">
      <c r="A14" s="177" t="s">
        <v>33</v>
      </c>
      <c r="B14" s="177" t="s">
        <v>82</v>
      </c>
      <c r="C14" s="177" t="s">
        <v>83</v>
      </c>
      <c r="D14" s="177" t="s">
        <v>84</v>
      </c>
      <c r="E14" s="177" t="s">
        <v>85</v>
      </c>
      <c r="F14" s="177" t="s">
        <v>86</v>
      </c>
    </row>
    <row r="15" spans="1:6" ht="20.100000000000001" customHeight="1" x14ac:dyDescent="0.25">
      <c r="A15" s="177" t="s">
        <v>87</v>
      </c>
      <c r="B15" s="177" t="s">
        <v>88</v>
      </c>
      <c r="C15" s="177" t="s">
        <v>89</v>
      </c>
      <c r="D15" s="177" t="s">
        <v>90</v>
      </c>
      <c r="E15" s="177" t="s">
        <v>91</v>
      </c>
      <c r="F15" s="177" t="s">
        <v>92</v>
      </c>
    </row>
    <row r="16" spans="1:6" ht="20.100000000000001" customHeight="1" x14ac:dyDescent="0.25">
      <c r="A16" s="177" t="s">
        <v>93</v>
      </c>
      <c r="B16" s="177" t="s">
        <v>94</v>
      </c>
      <c r="C16" s="177" t="s">
        <v>68</v>
      </c>
      <c r="D16" s="177" t="s">
        <v>69</v>
      </c>
      <c r="E16" s="177" t="s">
        <v>70</v>
      </c>
      <c r="F16" s="177" t="s">
        <v>95</v>
      </c>
    </row>
    <row r="17" spans="1:6" ht="20.100000000000001" customHeight="1" x14ac:dyDescent="0.25">
      <c r="A17" s="177" t="s">
        <v>96</v>
      </c>
      <c r="B17" s="177" t="s">
        <v>97</v>
      </c>
      <c r="C17" s="177" t="s">
        <v>68</v>
      </c>
      <c r="D17" s="177" t="s">
        <v>69</v>
      </c>
      <c r="E17" s="177" t="s">
        <v>70</v>
      </c>
      <c r="F17" s="177" t="s">
        <v>95</v>
      </c>
    </row>
    <row r="18" spans="1:6" ht="20.100000000000001" customHeight="1" x14ac:dyDescent="0.25">
      <c r="A18" s="177" t="s">
        <v>98</v>
      </c>
      <c r="B18" s="177" t="s">
        <v>99</v>
      </c>
      <c r="C18" s="177" t="s">
        <v>68</v>
      </c>
      <c r="D18" s="177" t="s">
        <v>69</v>
      </c>
      <c r="E18" s="177" t="s">
        <v>70</v>
      </c>
      <c r="F18" s="177" t="s">
        <v>95</v>
      </c>
    </row>
    <row r="19" spans="1:6" ht="20.100000000000001" customHeight="1" x14ac:dyDescent="0.25">
      <c r="A19" s="177" t="s">
        <v>100</v>
      </c>
      <c r="B19" s="177" t="s">
        <v>101</v>
      </c>
      <c r="C19" s="177" t="s">
        <v>68</v>
      </c>
      <c r="D19" s="177" t="s">
        <v>69</v>
      </c>
      <c r="E19" s="177" t="s">
        <v>70</v>
      </c>
      <c r="F19" s="177" t="s">
        <v>95</v>
      </c>
    </row>
    <row r="20" spans="1:6" ht="20.100000000000001" customHeight="1" x14ac:dyDescent="0.25">
      <c r="A20" s="177" t="s">
        <v>102</v>
      </c>
      <c r="B20" s="177" t="s">
        <v>103</v>
      </c>
      <c r="C20" s="177" t="s">
        <v>68</v>
      </c>
      <c r="D20" s="177" t="s">
        <v>69</v>
      </c>
      <c r="E20" s="177" t="s">
        <v>70</v>
      </c>
      <c r="F20" s="177" t="s">
        <v>95</v>
      </c>
    </row>
    <row r="21" spans="1:6" ht="20.100000000000001" customHeight="1" x14ac:dyDescent="0.25"/>
    <row r="22" spans="1:6" ht="20.100000000000001" customHeight="1" x14ac:dyDescent="0.25"/>
    <row r="23" spans="1:6" ht="20.100000000000001" customHeight="1" x14ac:dyDescent="0.25">
      <c r="A23" s="177" t="s">
        <v>104</v>
      </c>
      <c r="B23" s="3"/>
      <c r="C23" s="3"/>
    </row>
    <row r="24" spans="1:6" ht="20.100000000000001" customHeight="1" x14ac:dyDescent="0.25">
      <c r="A24" s="177" t="s">
        <v>105</v>
      </c>
      <c r="B24" s="177" t="s">
        <v>106</v>
      </c>
      <c r="C24" s="177" t="s">
        <v>107</v>
      </c>
    </row>
    <row r="25" spans="1:6" ht="20.100000000000001" customHeight="1" x14ac:dyDescent="0.25">
      <c r="A25" s="177" t="s">
        <v>108</v>
      </c>
      <c r="B25" s="177" t="s">
        <v>69</v>
      </c>
      <c r="C25" s="180" t="s">
        <v>109</v>
      </c>
    </row>
    <row r="26" spans="1:6" ht="20.100000000000001" customHeight="1" x14ac:dyDescent="0.25">
      <c r="A26" s="177" t="s">
        <v>110</v>
      </c>
      <c r="B26" s="177" t="s">
        <v>75</v>
      </c>
      <c r="C26" s="180" t="s">
        <v>111</v>
      </c>
    </row>
    <row r="27" spans="1:6" ht="20.100000000000001" customHeight="1" x14ac:dyDescent="0.25">
      <c r="A27" s="177" t="s">
        <v>112</v>
      </c>
      <c r="B27" s="177" t="s">
        <v>113</v>
      </c>
      <c r="C27" s="177" t="s">
        <v>114</v>
      </c>
    </row>
    <row r="28" spans="1:6" ht="20.100000000000001" customHeight="1" x14ac:dyDescent="0.25">
      <c r="A28" s="177" t="s">
        <v>115</v>
      </c>
      <c r="B28" s="177" t="s">
        <v>113</v>
      </c>
      <c r="C28" s="177" t="s">
        <v>116</v>
      </c>
    </row>
    <row r="29" spans="1:6" ht="20.100000000000001" customHeight="1" x14ac:dyDescent="0.25">
      <c r="A29" s="177" t="s">
        <v>117</v>
      </c>
      <c r="B29" s="177" t="s">
        <v>79</v>
      </c>
      <c r="C29" s="177" t="s">
        <v>118</v>
      </c>
    </row>
    <row r="30" spans="1:6" ht="20.100000000000001" customHeight="1" x14ac:dyDescent="0.25">
      <c r="A30" s="177" t="s">
        <v>119</v>
      </c>
      <c r="B30" s="177" t="s">
        <v>84</v>
      </c>
      <c r="C30" s="180" t="s">
        <v>120</v>
      </c>
    </row>
    <row r="31" spans="1:6" ht="20.100000000000001" customHeight="1" x14ac:dyDescent="0.25">
      <c r="A31" s="177" t="s">
        <v>121</v>
      </c>
      <c r="B31" s="177" t="s">
        <v>90</v>
      </c>
      <c r="C31" s="177" t="s">
        <v>122</v>
      </c>
    </row>
    <row r="32" spans="1:6" ht="20.100000000000001" customHeight="1" x14ac:dyDescent="0.25">
      <c r="A32" s="177" t="s">
        <v>123</v>
      </c>
      <c r="B32" s="177" t="s">
        <v>69</v>
      </c>
      <c r="C32" s="177" t="s">
        <v>124</v>
      </c>
    </row>
    <row r="33" spans="1:6" ht="20.100000000000001" customHeight="1" x14ac:dyDescent="0.25">
      <c r="A33" s="177" t="s">
        <v>125</v>
      </c>
      <c r="B33" s="177" t="s">
        <v>126</v>
      </c>
      <c r="C33" s="177" t="s">
        <v>127</v>
      </c>
    </row>
    <row r="34" spans="1:6" ht="20.100000000000001" customHeight="1" x14ac:dyDescent="0.25"/>
    <row r="35" spans="1:6" ht="20.100000000000001" customHeight="1" x14ac:dyDescent="0.25">
      <c r="A35" s="177" t="s">
        <v>128</v>
      </c>
    </row>
    <row r="36" spans="1:6" ht="20.100000000000001" customHeight="1" x14ac:dyDescent="0.25">
      <c r="A36" s="292" t="s">
        <v>129</v>
      </c>
      <c r="B36" s="293"/>
      <c r="C36" s="293"/>
      <c r="D36" s="293"/>
      <c r="E36" s="293"/>
      <c r="F36" s="294"/>
    </row>
  </sheetData>
  <mergeCells count="1">
    <mergeCell ref="A36:F36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178"/>
  <sheetViews>
    <sheetView showGridLines="0" tabSelected="1" zoomScale="85" zoomScaleNormal="100" workbookViewId="0">
      <pane xSplit="1" ySplit="4" topLeftCell="B143" activePane="bottomRight" state="frozen"/>
      <selection activeCell="K25" sqref="K25"/>
      <selection pane="topRight" activeCell="K25" sqref="K25"/>
      <selection pane="bottomLeft" activeCell="K25" sqref="K25"/>
      <selection pane="bottomRight" activeCell="K25" sqref="K25"/>
    </sheetView>
  </sheetViews>
  <sheetFormatPr defaultColWidth="9.625" defaultRowHeight="15" customHeight="1" x14ac:dyDescent="0.25"/>
  <cols>
    <col min="1" max="1" width="31.375" style="4" customWidth="1"/>
    <col min="2" max="10" width="17" style="1" customWidth="1"/>
    <col min="11" max="11" width="8" style="4" customWidth="1"/>
    <col min="12" max="12" width="10.375" style="1" customWidth="1"/>
    <col min="13" max="13" width="17" style="1" customWidth="1"/>
    <col min="14" max="14" width="8" style="1" customWidth="1"/>
    <col min="15" max="16" width="17" style="1" customWidth="1"/>
    <col min="17" max="40" width="8" style="1" customWidth="1"/>
    <col min="41" max="257" width="8" style="4" customWidth="1"/>
  </cols>
  <sheetData>
    <row r="1" spans="1:44" ht="30" customHeight="1" x14ac:dyDescent="0.25">
      <c r="A1" s="201" t="s">
        <v>130</v>
      </c>
      <c r="B1" s="318"/>
      <c r="C1" s="319"/>
      <c r="D1" s="201" t="s">
        <v>131</v>
      </c>
      <c r="E1" s="202" t="s">
        <v>132</v>
      </c>
      <c r="F1" s="201" t="s">
        <v>133</v>
      </c>
      <c r="G1" s="338"/>
      <c r="H1" s="339"/>
      <c r="I1" s="339"/>
      <c r="J1" s="319"/>
      <c r="K1" s="203"/>
      <c r="L1" s="204" t="s">
        <v>134</v>
      </c>
      <c r="M1" s="204" t="s">
        <v>135</v>
      </c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P1" s="337" t="s">
        <v>2</v>
      </c>
      <c r="AQ1" s="307"/>
      <c r="AR1" s="307"/>
    </row>
    <row r="2" spans="1:44" ht="27.95" customHeight="1" x14ac:dyDescent="0.25">
      <c r="A2" s="324" t="s">
        <v>136</v>
      </c>
      <c r="B2" s="325"/>
      <c r="C2" s="206">
        <v>5800</v>
      </c>
      <c r="D2" s="205" t="s">
        <v>137</v>
      </c>
      <c r="E2" s="205" t="s">
        <v>138</v>
      </c>
      <c r="F2" s="205" t="s">
        <v>139</v>
      </c>
      <c r="G2" s="329" t="s">
        <v>140</v>
      </c>
      <c r="H2" s="330"/>
      <c r="I2" s="330"/>
      <c r="J2" s="331"/>
      <c r="K2" s="207"/>
      <c r="L2" s="207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P2" s="341" t="s">
        <v>141</v>
      </c>
      <c r="AQ2" s="307"/>
      <c r="AR2" s="307"/>
    </row>
    <row r="3" spans="1:44" ht="21.95" customHeight="1" x14ac:dyDescent="0.25">
      <c r="A3" s="205" t="s">
        <v>142</v>
      </c>
      <c r="B3" s="209"/>
      <c r="C3" s="210">
        <f>($C$2*D3)*(1-F3)</f>
        <v>2839.1000000000004</v>
      </c>
      <c r="D3" s="211">
        <v>0.55000000000000004</v>
      </c>
      <c r="E3" s="212">
        <v>0.22500000000000001</v>
      </c>
      <c r="F3" s="213">
        <v>0.11</v>
      </c>
      <c r="G3" s="333"/>
      <c r="H3" s="334"/>
      <c r="I3" s="334"/>
      <c r="J3" s="335"/>
      <c r="K3" s="207"/>
      <c r="L3" s="207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</row>
    <row r="4" spans="1:44" ht="21.95" customHeight="1" x14ac:dyDescent="0.25">
      <c r="A4" s="214" t="s">
        <v>143</v>
      </c>
      <c r="B4" s="6"/>
      <c r="C4" s="215">
        <f>($C$2*D4)*(1-F4)</f>
        <v>1173.92</v>
      </c>
      <c r="D4" s="216">
        <v>0.22</v>
      </c>
      <c r="E4" s="217">
        <v>0.22500000000000001</v>
      </c>
      <c r="F4" s="218">
        <v>0.08</v>
      </c>
      <c r="G4" s="310"/>
      <c r="H4" s="311"/>
      <c r="I4" s="311"/>
      <c r="J4" s="312"/>
      <c r="K4" s="5"/>
      <c r="L4" s="5"/>
      <c r="AP4" s="306" t="s">
        <v>144</v>
      </c>
      <c r="AQ4" s="307"/>
      <c r="AR4" s="307"/>
    </row>
    <row r="5" spans="1:44" ht="27.95" customHeight="1" x14ac:dyDescent="0.25">
      <c r="A5" s="219" t="s">
        <v>145</v>
      </c>
      <c r="B5" s="6"/>
      <c r="C5" s="220">
        <f>($C$2*D5)*(1-F5)</f>
        <v>165.29999999999998</v>
      </c>
      <c r="D5" s="221">
        <v>0.03</v>
      </c>
      <c r="E5" s="217">
        <v>0.22500000000000001</v>
      </c>
      <c r="F5" s="218">
        <v>0.05</v>
      </c>
      <c r="G5" s="310"/>
      <c r="H5" s="311"/>
      <c r="I5" s="311"/>
      <c r="J5" s="312"/>
      <c r="K5" s="5"/>
      <c r="L5" s="5"/>
      <c r="AP5" s="316" t="s">
        <v>146</v>
      </c>
      <c r="AQ5" s="307"/>
      <c r="AR5" s="307"/>
    </row>
    <row r="6" spans="1:44" ht="18" customHeight="1" x14ac:dyDescent="0.25">
      <c r="A6" s="219" t="s">
        <v>147</v>
      </c>
      <c r="B6" s="6"/>
      <c r="C6" s="220">
        <f>($C$2*D6)*(1-F6)</f>
        <v>584.64</v>
      </c>
      <c r="D6" s="221">
        <v>0.12</v>
      </c>
      <c r="E6" s="217">
        <v>0.22500000000000001</v>
      </c>
      <c r="F6" s="218">
        <v>0.16</v>
      </c>
      <c r="G6" s="310"/>
      <c r="H6" s="311"/>
      <c r="I6" s="311"/>
      <c r="J6" s="312"/>
      <c r="K6" s="5"/>
      <c r="L6" s="5"/>
    </row>
    <row r="7" spans="1:44" ht="18" customHeight="1" x14ac:dyDescent="0.25">
      <c r="A7" s="219" t="s">
        <v>148</v>
      </c>
      <c r="B7" s="6"/>
      <c r="C7" s="220">
        <f>($C$2*D7)*(1-F7)</f>
        <v>445.44</v>
      </c>
      <c r="D7" s="221">
        <v>0.08</v>
      </c>
      <c r="E7" s="217">
        <v>0.22500000000000001</v>
      </c>
      <c r="F7" s="218">
        <v>0.04</v>
      </c>
      <c r="G7" s="310"/>
      <c r="H7" s="311"/>
      <c r="I7" s="311"/>
      <c r="J7" s="312"/>
      <c r="K7" s="5"/>
      <c r="L7" s="5"/>
      <c r="AP7" s="306" t="s">
        <v>4</v>
      </c>
      <c r="AQ7" s="307"/>
      <c r="AR7" s="307"/>
    </row>
    <row r="8" spans="1:44" ht="27.95" customHeight="1" x14ac:dyDescent="0.25">
      <c r="A8" s="222" t="s">
        <v>149</v>
      </c>
      <c r="B8" s="7"/>
      <c r="C8" s="223">
        <f>SUM(C3:C7)</f>
        <v>5208.4000000000005</v>
      </c>
      <c r="D8" s="224">
        <f>SUM(D3:D7)</f>
        <v>1</v>
      </c>
      <c r="E8" s="225">
        <f>(+C3*E3+C4*E4+C5*E5+C6*E6+C7*E7)/C8</f>
        <v>0.22500000000000001</v>
      </c>
      <c r="F8" s="225">
        <f>D3*F3+D4*F4+D5*F5+D6*F6+D7*F7</f>
        <v>0.10199999999999999</v>
      </c>
      <c r="G8" s="310"/>
      <c r="H8" s="311"/>
      <c r="I8" s="311"/>
      <c r="J8" s="312"/>
      <c r="K8" s="5"/>
      <c r="L8" s="5"/>
      <c r="AP8" s="317" t="s">
        <v>150</v>
      </c>
      <c r="AQ8" s="307"/>
      <c r="AR8" s="307"/>
    </row>
    <row r="9" spans="1:44" ht="18" customHeight="1" x14ac:dyDescent="0.25">
      <c r="A9" s="222" t="s">
        <v>151</v>
      </c>
      <c r="B9" s="8"/>
      <c r="C9" s="226">
        <v>12</v>
      </c>
      <c r="D9" s="328" t="s">
        <v>152</v>
      </c>
      <c r="E9" s="293"/>
      <c r="F9" s="294"/>
      <c r="G9" s="340"/>
      <c r="H9" s="311"/>
      <c r="I9" s="311"/>
      <c r="J9" s="312"/>
    </row>
    <row r="10" spans="1:44" ht="18" customHeight="1" x14ac:dyDescent="0.25">
      <c r="A10" s="227" t="s">
        <v>153</v>
      </c>
      <c r="B10" s="9"/>
      <c r="C10" s="228">
        <v>0</v>
      </c>
      <c r="D10" s="10"/>
      <c r="E10" s="218">
        <v>0.03</v>
      </c>
      <c r="F10" s="227" t="str">
        <f>IF(CALCOLI!K48=0,"ERR","")</f>
        <v/>
      </c>
      <c r="G10" s="229" t="str">
        <f>IF(F10="ERR","mesi preaperura eccessivi","")</f>
        <v/>
      </c>
      <c r="H10" s="11"/>
      <c r="I10" s="11"/>
      <c r="J10" s="12"/>
      <c r="K10" s="5"/>
      <c r="L10" s="5"/>
    </row>
    <row r="11" spans="1:44" ht="18" customHeight="1" x14ac:dyDescent="0.25">
      <c r="A11" s="13"/>
      <c r="B11" s="14"/>
      <c r="C11" s="308" t="s">
        <v>154</v>
      </c>
      <c r="D11" s="294"/>
      <c r="E11" s="308" t="s">
        <v>155</v>
      </c>
      <c r="F11" s="294"/>
      <c r="G11" s="308" t="s">
        <v>156</v>
      </c>
      <c r="H11" s="294"/>
      <c r="I11" s="308" t="s">
        <v>157</v>
      </c>
      <c r="J11" s="294"/>
      <c r="K11" s="5"/>
      <c r="L11" s="5"/>
    </row>
    <row r="12" spans="1:44" ht="18" customHeight="1" x14ac:dyDescent="0.25">
      <c r="A12" s="222" t="s">
        <v>158</v>
      </c>
      <c r="B12" s="15"/>
      <c r="C12" s="222" t="s">
        <v>159</v>
      </c>
      <c r="D12" s="16"/>
      <c r="E12" s="222" t="str">
        <f>+C12</f>
        <v>input man.</v>
      </c>
      <c r="F12" s="16"/>
      <c r="G12" s="222" t="str">
        <f>+E12</f>
        <v>input man.</v>
      </c>
      <c r="H12" s="222" t="s">
        <v>160</v>
      </c>
      <c r="I12" s="222" t="str">
        <f>+G12</f>
        <v>input man.</v>
      </c>
      <c r="J12" s="222" t="s">
        <v>160</v>
      </c>
      <c r="Q12" s="5"/>
      <c r="R12" s="5"/>
    </row>
    <row r="13" spans="1:44" ht="18" customHeight="1" x14ac:dyDescent="0.25">
      <c r="A13" s="231" t="s">
        <v>161</v>
      </c>
      <c r="C13" s="232">
        <v>2.9000000000000001E-2</v>
      </c>
      <c r="D13" s="233" t="str">
        <f>IF(C13&gt;0,"","ERR")</f>
        <v/>
      </c>
      <c r="E13" s="234">
        <f>+C13</f>
        <v>2.9000000000000001E-2</v>
      </c>
      <c r="F13" s="235">
        <f>+C13</f>
        <v>2.9000000000000001E-2</v>
      </c>
      <c r="G13" s="17"/>
      <c r="H13" s="236">
        <f>$C$13</f>
        <v>2.9000000000000001E-2</v>
      </c>
      <c r="I13" s="18"/>
      <c r="J13" s="236">
        <f>$C$13</f>
        <v>2.9000000000000001E-2</v>
      </c>
    </row>
    <row r="14" spans="1:44" ht="18" customHeight="1" x14ac:dyDescent="0.25">
      <c r="A14" s="237" t="s">
        <v>162</v>
      </c>
      <c r="C14" s="238">
        <v>4800</v>
      </c>
      <c r="D14" s="233" t="str">
        <f>IF(C14&gt;0,"","ERR")</f>
        <v/>
      </c>
      <c r="E14" s="238">
        <v>5300</v>
      </c>
      <c r="F14" s="233" t="str">
        <f>IF(E14&gt;0,"","ERR")</f>
        <v/>
      </c>
      <c r="G14" s="19"/>
      <c r="H14" s="220">
        <f>+C2</f>
        <v>5800</v>
      </c>
      <c r="I14" s="19"/>
      <c r="J14" s="220">
        <f>IF(I13&gt;0.001,H14*(1+I13),H14*(1+J13))</f>
        <v>5968.2</v>
      </c>
    </row>
    <row r="15" spans="1:44" ht="18" customHeight="1" x14ac:dyDescent="0.25">
      <c r="A15" s="231" t="s">
        <v>163</v>
      </c>
      <c r="B15" s="20"/>
      <c r="C15" s="217">
        <v>0.19</v>
      </c>
      <c r="D15" s="233" t="str">
        <f>IF(C15&gt;0,"","ERR")</f>
        <v/>
      </c>
      <c r="E15" s="221">
        <v>0.20499999999999999</v>
      </c>
      <c r="F15" s="233" t="str">
        <f>IF(E15&gt;0,"","ERR")</f>
        <v/>
      </c>
      <c r="G15" s="21"/>
      <c r="H15" s="236">
        <f>+E8</f>
        <v>0.22500000000000001</v>
      </c>
      <c r="I15" s="21"/>
      <c r="J15" s="236">
        <f>$E$8</f>
        <v>0.22500000000000001</v>
      </c>
    </row>
    <row r="16" spans="1:44" ht="18" customHeight="1" x14ac:dyDescent="0.25">
      <c r="A16" s="237" t="str">
        <f>IF(D16="ERR","manca dato inflazione","")</f>
        <v/>
      </c>
      <c r="B16" s="237" t="str">
        <f>IF(OR(E16="ERR",G16="ERR",I16="ERR"),"sia % che mln","")</f>
        <v/>
      </c>
      <c r="C16" s="22"/>
      <c r="D16" s="239" t="str">
        <f>IF(C13=0,"ERR","")</f>
        <v/>
      </c>
      <c r="E16" s="23"/>
      <c r="F16" s="22"/>
      <c r="G16" s="237" t="str">
        <f>IF(AND(G13&lt;&gt;0,G14&gt;0),"ERR","")</f>
        <v/>
      </c>
      <c r="H16" s="22"/>
      <c r="I16" s="237" t="str">
        <f>IF(AND(I13&lt;&gt;0,I14&gt;0),"ERR","")</f>
        <v/>
      </c>
      <c r="J16" s="22"/>
    </row>
    <row r="17" spans="1:10" ht="18" customHeight="1" x14ac:dyDescent="0.25">
      <c r="A17" s="314" t="s">
        <v>164</v>
      </c>
      <c r="B17" s="294"/>
      <c r="C17" s="222" t="s">
        <v>165</v>
      </c>
      <c r="D17" s="222" t="s">
        <v>166</v>
      </c>
      <c r="E17" s="222" t="s">
        <v>165</v>
      </c>
      <c r="F17" s="222" t="s">
        <v>166</v>
      </c>
      <c r="G17" s="222" t="s">
        <v>165</v>
      </c>
      <c r="H17" s="222" t="s">
        <v>166</v>
      </c>
      <c r="I17" s="222" t="s">
        <v>165</v>
      </c>
      <c r="J17" s="222" t="s">
        <v>166</v>
      </c>
    </row>
    <row r="18" spans="1:10" ht="18" customHeight="1" x14ac:dyDescent="0.25">
      <c r="A18" s="237" t="s">
        <v>167</v>
      </c>
      <c r="C18" s="240">
        <v>238</v>
      </c>
      <c r="D18" s="241">
        <f>(C124/C9*12)/C25</f>
        <v>228.57142857142858</v>
      </c>
      <c r="E18" s="242">
        <f>C18*(1+E13)</f>
        <v>244.90199999999999</v>
      </c>
      <c r="F18" s="241">
        <f>E124/E25</f>
        <v>244.90199999999999</v>
      </c>
      <c r="G18" s="242">
        <f>E18*(1+H13)</f>
        <v>252.00415799999996</v>
      </c>
      <c r="H18" s="241">
        <f>G124/G25</f>
        <v>252.00415799999996</v>
      </c>
      <c r="I18" s="242">
        <f>G18*(1+J13)</f>
        <v>259.31227858199992</v>
      </c>
      <c r="J18" s="241">
        <f>I124/I25</f>
        <v>259.31227858199992</v>
      </c>
    </row>
    <row r="19" spans="1:10" ht="18" customHeight="1" x14ac:dyDescent="0.25">
      <c r="A19" s="231" t="s">
        <v>168</v>
      </c>
      <c r="C19" s="241">
        <f>IF(C124&gt;0,C124/C18,"")</f>
        <v>20.168067226890756</v>
      </c>
      <c r="D19" s="243">
        <f>(D18-C18)/C18</f>
        <v>-3.9615846338535363E-2</v>
      </c>
      <c r="E19" s="241">
        <f>IF(E124&gt;0,E124/E18,"")</f>
        <v>21.641309585058515</v>
      </c>
      <c r="F19" s="243">
        <f>(F18-E18)/E18</f>
        <v>0</v>
      </c>
      <c r="G19" s="241">
        <f>IF(G124&gt;0,G124/G18,"")</f>
        <v>23.015493260234226</v>
      </c>
      <c r="H19" s="243">
        <f>(H18-G18)/G18</f>
        <v>0</v>
      </c>
      <c r="I19" s="241">
        <f>IF(I124&gt;0,I124/I18,"")</f>
        <v>23.01549326023423</v>
      </c>
      <c r="J19" s="243">
        <f>(J18-I18)/I18</f>
        <v>0</v>
      </c>
    </row>
    <row r="20" spans="1:10" ht="18" customHeight="1" x14ac:dyDescent="0.25">
      <c r="A20" s="222" t="s">
        <v>169</v>
      </c>
      <c r="B20" s="24"/>
      <c r="C20" s="222" t="s">
        <v>170</v>
      </c>
      <c r="D20" s="222" t="s">
        <v>171</v>
      </c>
      <c r="E20" s="222" t="s">
        <v>170</v>
      </c>
      <c r="F20" s="222" t="s">
        <v>171</v>
      </c>
      <c r="G20" s="222" t="s">
        <v>170</v>
      </c>
      <c r="H20" s="222" t="s">
        <v>171</v>
      </c>
      <c r="I20" s="222" t="s">
        <v>170</v>
      </c>
      <c r="J20" s="222" t="s">
        <v>171</v>
      </c>
    </row>
    <row r="21" spans="1:10" ht="18" customHeight="1" x14ac:dyDescent="0.25">
      <c r="A21" s="231" t="s">
        <v>172</v>
      </c>
      <c r="C21" s="240">
        <v>1</v>
      </c>
      <c r="D21" s="244">
        <v>41.5</v>
      </c>
      <c r="E21" s="245">
        <f>C21</f>
        <v>1</v>
      </c>
      <c r="F21" s="245">
        <f>D21*(1+$D$43)</f>
        <v>42.703499999999998</v>
      </c>
      <c r="G21" s="245">
        <f>+E21</f>
        <v>1</v>
      </c>
      <c r="H21" s="245">
        <f>F21*(1+$E$43)</f>
        <v>43.941901499999993</v>
      </c>
      <c r="I21" s="245">
        <f>G21</f>
        <v>1</v>
      </c>
      <c r="J21" s="245">
        <f>H21*(1+$F$43)</f>
        <v>45.21621664349999</v>
      </c>
    </row>
    <row r="22" spans="1:10" ht="18" customHeight="1" x14ac:dyDescent="0.25">
      <c r="A22" s="237" t="s">
        <v>173</v>
      </c>
      <c r="C22" s="240">
        <v>4</v>
      </c>
      <c r="D22" s="244">
        <v>31.8</v>
      </c>
      <c r="E22" s="245">
        <f>C22</f>
        <v>4</v>
      </c>
      <c r="F22" s="245">
        <f>D22*(1+$D$43)</f>
        <v>32.722200000000001</v>
      </c>
      <c r="G22" s="245">
        <f>+E22</f>
        <v>4</v>
      </c>
      <c r="H22" s="245">
        <f>F22*(1+$E$43)</f>
        <v>33.671143799999996</v>
      </c>
      <c r="I22" s="245">
        <f>G22</f>
        <v>4</v>
      </c>
      <c r="J22" s="245">
        <f>H22*(1+$F$43)</f>
        <v>34.647606970199995</v>
      </c>
    </row>
    <row r="23" spans="1:10" ht="18" customHeight="1" x14ac:dyDescent="0.25">
      <c r="A23" s="231" t="s">
        <v>174</v>
      </c>
      <c r="C23" s="240">
        <v>7</v>
      </c>
      <c r="D23" s="244">
        <v>25</v>
      </c>
      <c r="E23" s="245">
        <f>+C23</f>
        <v>7</v>
      </c>
      <c r="F23" s="245">
        <f>D23*(1+$D$43)</f>
        <v>25.724999999999998</v>
      </c>
      <c r="G23" s="246">
        <f>+E23</f>
        <v>7</v>
      </c>
      <c r="H23" s="245">
        <f>F23*(1+$E$43)</f>
        <v>26.471024999999997</v>
      </c>
      <c r="I23" s="247">
        <f>+I124/I18-I21-I22-I24</f>
        <v>13.01549326023423</v>
      </c>
      <c r="J23" s="245">
        <f>H23*(1+$F$43)</f>
        <v>27.238684724999995</v>
      </c>
    </row>
    <row r="24" spans="1:10" ht="18" customHeight="1" x14ac:dyDescent="0.25">
      <c r="A24" s="237" t="s">
        <v>175</v>
      </c>
      <c r="B24" s="25"/>
      <c r="C24" s="240">
        <v>9</v>
      </c>
      <c r="D24" s="244">
        <v>18.5</v>
      </c>
      <c r="E24" s="246">
        <f>+E124/E18-E21-E22-E23</f>
        <v>9.6413095850585151</v>
      </c>
      <c r="F24" s="245">
        <f>D24*(1+$D$43)</f>
        <v>19.036499999999997</v>
      </c>
      <c r="G24" s="246">
        <f>+G124/G18-G21-G22-G23</f>
        <v>11.015493260234226</v>
      </c>
      <c r="H24" s="245">
        <f>F24*(1+$E$43)</f>
        <v>19.588558499999994</v>
      </c>
      <c r="I24" s="240">
        <v>5</v>
      </c>
      <c r="J24" s="245">
        <f>H24*(1+$F$43)</f>
        <v>20.156626696499991</v>
      </c>
    </row>
    <row r="25" spans="1:10" ht="18" customHeight="1" x14ac:dyDescent="0.25">
      <c r="A25" s="248" t="s">
        <v>176</v>
      </c>
      <c r="B25" s="20"/>
      <c r="C25" s="249">
        <f>SUM(C21:C24)</f>
        <v>21</v>
      </c>
      <c r="D25" s="248">
        <f>C21*D21+C22*D22+C23*D23+C24*D24</f>
        <v>510.2</v>
      </c>
      <c r="E25" s="248">
        <f>SUM(E21:E24)</f>
        <v>21.641309585058515</v>
      </c>
      <c r="F25" s="248">
        <f>E21*F21+E22*F22+E23*F23+E24*F24</f>
        <v>537.20408991596628</v>
      </c>
      <c r="G25" s="248">
        <f>SUM(G21:G24)</f>
        <v>23.015493260234226</v>
      </c>
      <c r="H25" s="248">
        <f>G21*H21+G22*H22+G23*H23+G24*H24</f>
        <v>579.70128583445376</v>
      </c>
      <c r="I25" s="248">
        <f>SUM(I21:I24)</f>
        <v>23.01549326023423</v>
      </c>
      <c r="J25" s="248">
        <f>I21*J21+I22*J22+I23*J23+I24*J24</f>
        <v>639.11469546268245</v>
      </c>
    </row>
    <row r="26" spans="1:10" ht="18" customHeight="1" x14ac:dyDescent="0.25">
      <c r="A26" s="26"/>
    </row>
    <row r="27" spans="1:10" ht="18" customHeight="1" x14ac:dyDescent="0.25">
      <c r="A27" s="314" t="s">
        <v>177</v>
      </c>
      <c r="B27" s="294"/>
      <c r="C27" s="222" t="s">
        <v>178</v>
      </c>
      <c r="D27" s="222" t="s">
        <v>179</v>
      </c>
      <c r="E27" s="222" t="s">
        <v>180</v>
      </c>
      <c r="F27" s="222" t="s">
        <v>181</v>
      </c>
      <c r="G27" s="314" t="s">
        <v>182</v>
      </c>
      <c r="H27" s="314" t="s">
        <v>183</v>
      </c>
      <c r="I27" s="314" t="s">
        <v>184</v>
      </c>
      <c r="J27" s="314" t="s">
        <v>185</v>
      </c>
    </row>
    <row r="28" spans="1:10" ht="18" customHeight="1" x14ac:dyDescent="0.25">
      <c r="A28" s="309" t="s">
        <v>186</v>
      </c>
      <c r="B28" s="294"/>
      <c r="C28" s="27"/>
      <c r="D28" s="238">
        <v>1500</v>
      </c>
      <c r="E28" s="27"/>
      <c r="F28" s="220">
        <f>+C28+D28-E28</f>
        <v>1500</v>
      </c>
      <c r="G28" s="315"/>
      <c r="H28" s="315"/>
      <c r="I28" s="315"/>
      <c r="J28" s="315"/>
    </row>
    <row r="29" spans="1:10" ht="18" customHeight="1" x14ac:dyDescent="0.25">
      <c r="A29" s="314" t="s">
        <v>187</v>
      </c>
      <c r="B29" s="294"/>
      <c r="C29" s="28"/>
      <c r="D29" s="28"/>
      <c r="E29" s="28"/>
      <c r="F29" s="250">
        <v>1000</v>
      </c>
      <c r="G29" s="251">
        <v>1</v>
      </c>
      <c r="H29" s="222">
        <f>+D31</f>
        <v>92.34</v>
      </c>
      <c r="I29" s="222">
        <f>+E32</f>
        <v>0</v>
      </c>
      <c r="J29" s="222">
        <f>+H29-I29</f>
        <v>92.34</v>
      </c>
    </row>
    <row r="30" spans="1:10" ht="18" customHeight="1" x14ac:dyDescent="0.25">
      <c r="A30" s="237" t="s">
        <v>188</v>
      </c>
      <c r="B30" s="29"/>
      <c r="C30" s="247">
        <f>+C28*B30/1000</f>
        <v>0</v>
      </c>
      <c r="D30" s="30"/>
      <c r="E30" s="30"/>
      <c r="F30" s="31"/>
      <c r="G30" s="252">
        <v>2</v>
      </c>
      <c r="H30" s="246">
        <f>D31*(1+$D$43)</f>
        <v>95.017859999999999</v>
      </c>
      <c r="I30" s="246">
        <f>E32*(1+$D$43)</f>
        <v>0</v>
      </c>
      <c r="J30" s="237">
        <f>+H30-I30</f>
        <v>95.017859999999999</v>
      </c>
    </row>
    <row r="31" spans="1:10" ht="18" customHeight="1" x14ac:dyDescent="0.25">
      <c r="A31" s="231" t="s">
        <v>189</v>
      </c>
      <c r="B31" s="240">
        <v>5.13</v>
      </c>
      <c r="C31" s="32"/>
      <c r="D31" s="247">
        <f>(+D28*B31*12)/1000</f>
        <v>92.34</v>
      </c>
      <c r="E31" s="32"/>
      <c r="F31" s="33"/>
      <c r="G31" s="252">
        <v>3</v>
      </c>
      <c r="H31" s="246">
        <f>H30*(1+$D$43)</f>
        <v>97.773377939999989</v>
      </c>
      <c r="I31" s="246">
        <f>I30*(1+$D$43)</f>
        <v>0</v>
      </c>
      <c r="J31" s="231">
        <f>+H31-I31</f>
        <v>97.773377939999989</v>
      </c>
    </row>
    <row r="32" spans="1:10" ht="18" customHeight="1" x14ac:dyDescent="0.25">
      <c r="A32" s="237" t="s">
        <v>190</v>
      </c>
      <c r="B32" s="34"/>
      <c r="C32" s="35"/>
      <c r="D32" s="35"/>
      <c r="E32" s="247">
        <f>+B32*12*E28/1000</f>
        <v>0</v>
      </c>
      <c r="F32" s="36"/>
      <c r="G32" s="252">
        <v>4</v>
      </c>
      <c r="H32" s="246">
        <f>H31*(1+$D$43)</f>
        <v>100.60880590025998</v>
      </c>
      <c r="I32" s="246">
        <f>I31*(1+$D$43)</f>
        <v>0</v>
      </c>
      <c r="J32" s="237">
        <f>+H32-I32</f>
        <v>100.60880590025998</v>
      </c>
    </row>
    <row r="33" spans="1:16" ht="18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16" ht="18" customHeight="1" x14ac:dyDescent="0.25">
      <c r="A34" s="308" t="s">
        <v>191</v>
      </c>
      <c r="B34" s="321"/>
      <c r="C34" s="308" t="s">
        <v>162</v>
      </c>
      <c r="D34" s="308" t="s">
        <v>192</v>
      </c>
      <c r="E34" s="230" t="s">
        <v>193</v>
      </c>
      <c r="F34" s="230" t="s">
        <v>194</v>
      </c>
      <c r="G34" s="38"/>
      <c r="H34" s="39"/>
      <c r="I34" s="39"/>
      <c r="J34" s="39"/>
      <c r="K34" s="38"/>
      <c r="L34" s="38"/>
    </row>
    <row r="35" spans="1:16" ht="18" customHeight="1" x14ac:dyDescent="0.25">
      <c r="A35" s="322"/>
      <c r="B35" s="323"/>
      <c r="C35" s="315"/>
      <c r="D35" s="315"/>
      <c r="E35" s="252">
        <v>1</v>
      </c>
      <c r="F35" s="241">
        <f>+CALCOLI!K21</f>
        <v>0</v>
      </c>
      <c r="G35" s="38"/>
      <c r="H35" s="38"/>
      <c r="I35" s="38"/>
      <c r="J35" s="38"/>
      <c r="K35" s="38"/>
      <c r="L35" s="38"/>
    </row>
    <row r="36" spans="1:16" ht="18" customHeight="1" x14ac:dyDescent="0.25">
      <c r="A36" s="237" t="s">
        <v>195</v>
      </c>
      <c r="B36" s="238">
        <v>0</v>
      </c>
      <c r="C36" s="217">
        <v>0</v>
      </c>
      <c r="D36" s="217">
        <v>0</v>
      </c>
      <c r="E36" s="252">
        <v>2</v>
      </c>
      <c r="F36" s="241">
        <f>+CALCOLI!L21</f>
        <v>0</v>
      </c>
      <c r="G36" s="38"/>
      <c r="H36" s="40"/>
      <c r="I36" s="41"/>
      <c r="J36" s="40"/>
      <c r="K36" s="41"/>
      <c r="L36" s="40"/>
      <c r="M36" s="42"/>
      <c r="N36" s="43"/>
      <c r="O36" s="218">
        <v>0.107866962193976</v>
      </c>
      <c r="P36" s="253">
        <v>816553.81324404699</v>
      </c>
    </row>
    <row r="37" spans="1:16" ht="18" customHeight="1" x14ac:dyDescent="0.25">
      <c r="A37" s="231" t="s">
        <v>196</v>
      </c>
      <c r="B37" s="231" t="s">
        <v>197</v>
      </c>
      <c r="C37" s="217">
        <v>0</v>
      </c>
      <c r="D37" s="217">
        <v>0</v>
      </c>
      <c r="E37" s="252">
        <v>3</v>
      </c>
      <c r="F37" s="241">
        <f>+CALCOLI!M21</f>
        <v>0</v>
      </c>
      <c r="G37" s="38"/>
      <c r="H37" s="38"/>
      <c r="I37" s="38"/>
      <c r="J37" s="44"/>
      <c r="K37" s="38"/>
      <c r="L37" s="38"/>
    </row>
    <row r="38" spans="1:16" ht="18" customHeight="1" x14ac:dyDescent="0.25">
      <c r="A38" s="237" t="s">
        <v>198</v>
      </c>
      <c r="B38" s="240">
        <v>0</v>
      </c>
      <c r="C38" s="45"/>
      <c r="D38" s="46"/>
      <c r="E38" s="252">
        <v>4</v>
      </c>
      <c r="F38" s="241">
        <f>+CALCOLI!N21</f>
        <v>0</v>
      </c>
      <c r="G38" s="38"/>
      <c r="H38" s="38"/>
      <c r="I38" s="38"/>
      <c r="J38" s="44"/>
      <c r="K38" s="38"/>
      <c r="L38" s="38"/>
    </row>
    <row r="39" spans="1:16" ht="18" customHeight="1" x14ac:dyDescent="0.25">
      <c r="A39" s="231" t="str">
        <f>IF(D39="ERR","controllo % sia su incassi che vendite","")</f>
        <v/>
      </c>
      <c r="B39" s="47"/>
      <c r="D39" s="231" t="str">
        <f>IF(AND(C36&gt;0,D36&gt;0),"ERR",IF(AND(C37&gt;0,D37&gt;0),"ERR",IF(AND(C36&gt;0,D37&gt;0),"ERR",IF(AND(D36&gt;0,C37&gt;0),"ERR",""))))</f>
        <v/>
      </c>
      <c r="G39" s="38"/>
      <c r="H39" s="38"/>
      <c r="I39" s="38"/>
      <c r="J39" s="44"/>
      <c r="K39" s="38"/>
      <c r="L39" s="38"/>
    </row>
    <row r="40" spans="1:16" ht="18" customHeight="1" x14ac:dyDescent="0.25">
      <c r="A40" s="237" t="str">
        <f>IF(D40="ERR","controllo % su 2° scaglione e importo 1° scaglione","")</f>
        <v/>
      </c>
      <c r="D40" s="237" t="str">
        <f>IF(AND(C37&gt;0,B36=0),"ERR",IF(AND(D37&gt;0,B36=0),"ERR",IF(AND(B36&gt;0,C36&gt;0,C37=0),"ERR",IF(AND(B36&gt;0,D36&gt;0,D37=0),"ERR",""))))</f>
        <v/>
      </c>
      <c r="G40" s="38"/>
      <c r="H40" s="38"/>
      <c r="I40" s="38"/>
      <c r="J40" s="44"/>
      <c r="K40" s="38"/>
      <c r="L40" s="38"/>
    </row>
    <row r="41" spans="1:16" ht="18" customHeight="1" x14ac:dyDescent="0.25">
      <c r="A41" s="308" t="s">
        <v>199</v>
      </c>
      <c r="B41" s="293"/>
      <c r="C41" s="294"/>
      <c r="D41" s="308" t="s">
        <v>200</v>
      </c>
      <c r="E41" s="293"/>
      <c r="F41" s="294"/>
      <c r="G41" s="38"/>
      <c r="H41" s="38"/>
      <c r="I41" s="38"/>
      <c r="J41" s="44"/>
      <c r="K41" s="38"/>
      <c r="L41" s="38"/>
    </row>
    <row r="42" spans="1:16" ht="18" customHeight="1" x14ac:dyDescent="0.25">
      <c r="A42" s="222" t="s">
        <v>201</v>
      </c>
      <c r="B42" s="254" t="s">
        <v>202</v>
      </c>
      <c r="C42" s="222" t="s">
        <v>203</v>
      </c>
      <c r="D42" s="222" t="s">
        <v>204</v>
      </c>
      <c r="E42" s="222" t="s">
        <v>205</v>
      </c>
      <c r="F42" s="222" t="s">
        <v>206</v>
      </c>
      <c r="G42" s="38"/>
      <c r="H42" s="38"/>
      <c r="I42" s="38"/>
      <c r="J42" s="38"/>
      <c r="K42" s="38"/>
      <c r="L42" s="38"/>
      <c r="M42" s="38"/>
    </row>
    <row r="43" spans="1:16" ht="18" customHeight="1" x14ac:dyDescent="0.25">
      <c r="A43" s="231" t="s">
        <v>207</v>
      </c>
      <c r="B43" s="231" t="str">
        <f>IF(C43&gt;0.0001,"","ERR")</f>
        <v/>
      </c>
      <c r="C43" s="232">
        <v>2.9000000000000001E-2</v>
      </c>
      <c r="D43" s="255">
        <f>C43</f>
        <v>2.9000000000000001E-2</v>
      </c>
      <c r="E43" s="255">
        <f>D43</f>
        <v>2.9000000000000001E-2</v>
      </c>
      <c r="F43" s="255">
        <f>E43</f>
        <v>2.9000000000000001E-2</v>
      </c>
      <c r="G43" s="38"/>
      <c r="H43" s="38"/>
      <c r="I43" s="38"/>
      <c r="J43" s="38"/>
      <c r="K43" s="38"/>
      <c r="L43" s="38"/>
      <c r="M43" s="38"/>
    </row>
    <row r="44" spans="1:16" ht="18" customHeight="1" x14ac:dyDescent="0.25">
      <c r="A44" s="237" t="s">
        <v>208</v>
      </c>
      <c r="C44" s="217">
        <v>0.05</v>
      </c>
      <c r="D44" s="218">
        <v>0.01</v>
      </c>
      <c r="E44" s="217">
        <v>0.1</v>
      </c>
      <c r="F44" s="217">
        <v>0.15</v>
      </c>
      <c r="G44" s="38"/>
      <c r="H44" s="38"/>
      <c r="I44" s="38"/>
      <c r="J44" s="38"/>
      <c r="K44" s="38"/>
      <c r="L44" s="38"/>
      <c r="M44" s="38"/>
    </row>
    <row r="45" spans="1:16" ht="18" customHeight="1" x14ac:dyDescent="0.25">
      <c r="A45" s="231" t="s">
        <v>209</v>
      </c>
      <c r="B45" s="231" t="str">
        <f t="shared" ref="B45:B52" si="0">IF(C45&gt;0.0001,"","ERR")</f>
        <v/>
      </c>
      <c r="C45" s="217">
        <v>0.01</v>
      </c>
      <c r="D45" s="255">
        <f t="shared" ref="D45:F50" si="1">C45</f>
        <v>0.01</v>
      </c>
      <c r="E45" s="255">
        <f t="shared" si="1"/>
        <v>0.01</v>
      </c>
      <c r="F45" s="255">
        <f t="shared" si="1"/>
        <v>0.01</v>
      </c>
      <c r="G45" s="38"/>
      <c r="H45" s="38"/>
      <c r="I45" s="38"/>
      <c r="J45" s="38"/>
      <c r="K45" s="38"/>
      <c r="L45" s="38"/>
      <c r="M45" s="38"/>
    </row>
    <row r="46" spans="1:16" ht="18" customHeight="1" x14ac:dyDescent="0.25">
      <c r="A46" s="237" t="s">
        <v>210</v>
      </c>
      <c r="B46" s="237" t="str">
        <f t="shared" si="0"/>
        <v/>
      </c>
      <c r="C46" s="217">
        <v>1.2500000000000001E-2</v>
      </c>
      <c r="D46" s="255">
        <f t="shared" si="1"/>
        <v>1.2500000000000001E-2</v>
      </c>
      <c r="E46" s="255">
        <f t="shared" si="1"/>
        <v>1.2500000000000001E-2</v>
      </c>
      <c r="F46" s="255">
        <f t="shared" si="1"/>
        <v>1.2500000000000001E-2</v>
      </c>
      <c r="G46" s="38"/>
      <c r="H46" s="38"/>
      <c r="I46" s="38"/>
      <c r="J46" s="38"/>
      <c r="K46" s="38"/>
      <c r="L46" s="38"/>
      <c r="M46" s="38"/>
    </row>
    <row r="47" spans="1:16" ht="18" customHeight="1" x14ac:dyDescent="0.25">
      <c r="A47" s="231" t="s">
        <v>211</v>
      </c>
      <c r="B47" s="231" t="str">
        <f t="shared" si="0"/>
        <v/>
      </c>
      <c r="C47" s="217">
        <v>7.0000000000000001E-3</v>
      </c>
      <c r="D47" s="255">
        <f t="shared" si="1"/>
        <v>7.0000000000000001E-3</v>
      </c>
      <c r="E47" s="255">
        <f t="shared" si="1"/>
        <v>7.0000000000000001E-3</v>
      </c>
      <c r="F47" s="255">
        <f t="shared" si="1"/>
        <v>7.0000000000000001E-3</v>
      </c>
      <c r="G47" s="38"/>
      <c r="H47" s="38"/>
      <c r="I47" s="38"/>
      <c r="J47" s="38"/>
      <c r="K47" s="38"/>
      <c r="L47" s="38"/>
      <c r="M47" s="38"/>
    </row>
    <row r="48" spans="1:16" ht="18" customHeight="1" x14ac:dyDescent="0.25">
      <c r="A48" s="237" t="s">
        <v>212</v>
      </c>
      <c r="B48" s="237" t="str">
        <f t="shared" si="0"/>
        <v/>
      </c>
      <c r="C48" s="217">
        <v>1.2999999999999999E-2</v>
      </c>
      <c r="D48" s="255">
        <f t="shared" si="1"/>
        <v>1.2999999999999999E-2</v>
      </c>
      <c r="E48" s="255">
        <f t="shared" si="1"/>
        <v>1.2999999999999999E-2</v>
      </c>
      <c r="F48" s="255">
        <f t="shared" si="1"/>
        <v>1.2999999999999999E-2</v>
      </c>
      <c r="G48" s="38"/>
      <c r="H48" s="38"/>
      <c r="I48" s="38"/>
      <c r="J48" s="38"/>
      <c r="K48" s="38"/>
      <c r="L48" s="38"/>
      <c r="M48" s="38"/>
    </row>
    <row r="49" spans="1:18" ht="18" customHeight="1" x14ac:dyDescent="0.25">
      <c r="A49" s="231" t="s">
        <v>213</v>
      </c>
      <c r="B49" s="231" t="str">
        <f t="shared" si="0"/>
        <v/>
      </c>
      <c r="C49" s="232">
        <v>4.3400000000000001E-2</v>
      </c>
      <c r="D49" s="255">
        <f t="shared" si="1"/>
        <v>4.3400000000000001E-2</v>
      </c>
      <c r="E49" s="255">
        <f t="shared" si="1"/>
        <v>4.3400000000000001E-2</v>
      </c>
      <c r="F49" s="255">
        <f t="shared" si="1"/>
        <v>4.3400000000000001E-2</v>
      </c>
      <c r="G49" s="38"/>
      <c r="H49" s="38"/>
      <c r="I49" s="38"/>
      <c r="J49" s="38"/>
      <c r="K49" s="38"/>
      <c r="L49" s="38"/>
      <c r="M49" s="38"/>
    </row>
    <row r="50" spans="1:18" ht="18" customHeight="1" x14ac:dyDescent="0.25">
      <c r="A50" s="237" t="s">
        <v>214</v>
      </c>
      <c r="B50" s="237" t="str">
        <f t="shared" si="0"/>
        <v/>
      </c>
      <c r="C50" s="232">
        <v>6.4999999999999997E-3</v>
      </c>
      <c r="D50" s="255">
        <f t="shared" si="1"/>
        <v>6.4999999999999997E-3</v>
      </c>
      <c r="E50" s="255">
        <f t="shared" si="1"/>
        <v>6.4999999999999997E-3</v>
      </c>
      <c r="F50" s="255">
        <f t="shared" si="1"/>
        <v>6.4999999999999997E-3</v>
      </c>
      <c r="G50" s="38"/>
      <c r="H50" s="38"/>
      <c r="I50" s="38"/>
      <c r="J50" s="38"/>
      <c r="K50" s="38"/>
      <c r="L50" s="38"/>
      <c r="M50" s="38"/>
    </row>
    <row r="51" spans="1:18" ht="18" customHeight="1" x14ac:dyDescent="0.25">
      <c r="A51" s="231" t="s">
        <v>215</v>
      </c>
      <c r="B51" s="231" t="str">
        <f t="shared" si="0"/>
        <v/>
      </c>
      <c r="C51" s="232">
        <v>3.9E-2</v>
      </c>
      <c r="D51" s="48"/>
      <c r="E51" s="48"/>
      <c r="F51" s="49"/>
      <c r="G51" s="38"/>
      <c r="H51" s="38"/>
      <c r="I51" s="38"/>
      <c r="J51" s="38"/>
      <c r="K51" s="38"/>
      <c r="L51" s="38"/>
      <c r="M51" s="38"/>
    </row>
    <row r="52" spans="1:18" ht="18" customHeight="1" x14ac:dyDescent="0.25">
      <c r="A52" s="237" t="s">
        <v>216</v>
      </c>
      <c r="B52" s="237" t="str">
        <f t="shared" si="0"/>
        <v/>
      </c>
      <c r="C52" s="232">
        <v>0.24</v>
      </c>
      <c r="D52" s="48"/>
      <c r="E52" s="48"/>
      <c r="F52" s="49"/>
      <c r="G52" s="38"/>
      <c r="H52" s="38"/>
      <c r="I52" s="38"/>
      <c r="J52" s="38"/>
      <c r="K52" s="38"/>
      <c r="L52" s="38"/>
      <c r="M52" s="38"/>
    </row>
    <row r="53" spans="1:18" ht="18" customHeight="1" x14ac:dyDescent="0.25">
      <c r="A53" s="231" t="s">
        <v>217</v>
      </c>
      <c r="C53" s="256">
        <v>2</v>
      </c>
      <c r="D53" s="48"/>
      <c r="E53" s="48"/>
      <c r="F53" s="49"/>
      <c r="G53" s="38"/>
      <c r="H53" s="38"/>
      <c r="I53" s="38"/>
      <c r="J53" s="38"/>
      <c r="K53" s="38"/>
      <c r="L53" s="38"/>
      <c r="M53" s="38"/>
    </row>
    <row r="54" spans="1:18" ht="18" customHeight="1" x14ac:dyDescent="0.25">
      <c r="A54" s="237" t="s">
        <v>218</v>
      </c>
      <c r="B54" s="237" t="str">
        <f>IF(C54&gt;0.0001,"","ERR")</f>
        <v/>
      </c>
      <c r="C54" s="240">
        <v>35</v>
      </c>
      <c r="D54" s="242">
        <f>C54</f>
        <v>35</v>
      </c>
      <c r="E54" s="242">
        <f>D54</f>
        <v>35</v>
      </c>
      <c r="F54" s="242">
        <f>E54</f>
        <v>35</v>
      </c>
      <c r="G54" s="38"/>
      <c r="H54" s="38"/>
      <c r="I54" s="38"/>
      <c r="J54" s="38"/>
      <c r="K54" s="38"/>
      <c r="L54" s="38"/>
      <c r="M54" s="38"/>
    </row>
    <row r="55" spans="1:18" ht="18" customHeight="1" x14ac:dyDescent="0.25">
      <c r="A55" s="231" t="s">
        <v>219</v>
      </c>
      <c r="B55" s="231" t="str">
        <f>IF(C55&gt;0.0001,"","ERR")</f>
        <v/>
      </c>
      <c r="C55" s="240">
        <v>90</v>
      </c>
      <c r="D55" s="50"/>
      <c r="E55" s="50"/>
      <c r="F55" s="51"/>
      <c r="G55" s="38"/>
      <c r="H55" s="38"/>
      <c r="I55" s="38"/>
      <c r="J55" s="38"/>
      <c r="K55" s="38"/>
      <c r="L55" s="38"/>
      <c r="M55" s="38"/>
    </row>
    <row r="56" spans="1:18" ht="18" customHeight="1" x14ac:dyDescent="0.25">
      <c r="A56" s="237" t="s">
        <v>220</v>
      </c>
      <c r="B56" s="237" t="str">
        <f>IF(C56&gt;0.0001,"","ERR")</f>
        <v/>
      </c>
      <c r="C56" s="240">
        <v>365</v>
      </c>
      <c r="D56" s="242">
        <f>+C56</f>
        <v>365</v>
      </c>
      <c r="E56" s="242">
        <f>+D56</f>
        <v>365</v>
      </c>
      <c r="F56" s="242">
        <f>+E56</f>
        <v>365</v>
      </c>
      <c r="G56" s="38"/>
      <c r="H56" s="38"/>
      <c r="I56" s="38"/>
      <c r="J56" s="38"/>
      <c r="K56" s="38"/>
      <c r="L56" s="38"/>
      <c r="M56" s="38"/>
    </row>
    <row r="57" spans="1:18" ht="18" customHeight="1" x14ac:dyDescent="0.25">
      <c r="A57" s="37"/>
      <c r="G57" s="38"/>
      <c r="H57" s="38"/>
      <c r="I57" s="38"/>
      <c r="J57" s="44"/>
      <c r="K57" s="38"/>
      <c r="L57" s="38"/>
    </row>
    <row r="58" spans="1:18" ht="18" customHeight="1" x14ac:dyDescent="0.25">
      <c r="A58" s="230" t="s">
        <v>221</v>
      </c>
      <c r="B58" s="230" t="s">
        <v>222</v>
      </c>
      <c r="C58" s="230" t="s">
        <v>223</v>
      </c>
      <c r="D58" s="230" t="s">
        <v>224</v>
      </c>
      <c r="G58" s="38"/>
      <c r="H58" s="38"/>
      <c r="I58" s="38"/>
      <c r="J58" s="44"/>
      <c r="K58" s="38"/>
      <c r="L58" s="38"/>
    </row>
    <row r="59" spans="1:18" ht="18" customHeight="1" x14ac:dyDescent="0.25">
      <c r="A59" s="231" t="s">
        <v>225</v>
      </c>
      <c r="B59" s="257">
        <v>0.25</v>
      </c>
      <c r="C59" s="241">
        <f>B59*$F$29</f>
        <v>250</v>
      </c>
      <c r="D59" s="255">
        <f>CALCOLI!D48</f>
        <v>0.10199999999999999</v>
      </c>
      <c r="G59" s="38"/>
      <c r="H59" s="38"/>
      <c r="I59" s="38"/>
      <c r="J59" s="44"/>
      <c r="K59" s="38"/>
      <c r="L59" s="38"/>
    </row>
    <row r="60" spans="1:18" ht="18" customHeight="1" x14ac:dyDescent="0.25">
      <c r="G60" s="38"/>
      <c r="H60" s="38"/>
      <c r="I60" s="38"/>
      <c r="J60" s="44"/>
      <c r="K60" s="38"/>
      <c r="L60" s="38"/>
    </row>
    <row r="61" spans="1:18" ht="18" customHeight="1" x14ac:dyDescent="0.25">
      <c r="A61" s="308" t="s">
        <v>226</v>
      </c>
      <c r="B61" s="294"/>
      <c r="C61" s="230" t="s">
        <v>203</v>
      </c>
      <c r="D61" s="230" t="s">
        <v>204</v>
      </c>
      <c r="E61" s="230" t="s">
        <v>205</v>
      </c>
      <c r="F61" s="230" t="s">
        <v>206</v>
      </c>
      <c r="G61" s="44"/>
      <c r="H61" s="44"/>
      <c r="I61" s="44"/>
      <c r="J61" s="44"/>
      <c r="K61" s="44"/>
      <c r="L61" s="44"/>
      <c r="R61" s="5"/>
    </row>
    <row r="62" spans="1:18" ht="18" customHeight="1" x14ac:dyDescent="0.25">
      <c r="A62" s="237" t="s">
        <v>227</v>
      </c>
      <c r="C62" s="240">
        <v>5</v>
      </c>
      <c r="D62" s="242">
        <f t="shared" ref="D62:D67" si="2">C62*(1+$D$43)</f>
        <v>5.1449999999999996</v>
      </c>
      <c r="E62" s="242">
        <f>D62*(1+$E$43)</f>
        <v>5.2942049999999989</v>
      </c>
      <c r="F62" s="242">
        <f>E62*(1+$F$43)</f>
        <v>5.4477369449999982</v>
      </c>
      <c r="G62" s="44"/>
      <c r="H62" s="44"/>
      <c r="I62" s="44"/>
      <c r="J62" s="44"/>
      <c r="K62" s="44"/>
      <c r="L62" s="44"/>
      <c r="R62" s="5"/>
    </row>
    <row r="63" spans="1:18" ht="18" customHeight="1" x14ac:dyDescent="0.25">
      <c r="A63" s="231" t="s">
        <v>228</v>
      </c>
      <c r="C63" s="52"/>
      <c r="D63" s="242">
        <f t="shared" si="2"/>
        <v>0</v>
      </c>
      <c r="E63" s="242">
        <f>D63*(1+$E$43)</f>
        <v>0</v>
      </c>
      <c r="F63" s="242">
        <f>E63*(1+$F$43)</f>
        <v>0</v>
      </c>
      <c r="G63" s="44"/>
      <c r="H63" s="44"/>
      <c r="I63" s="44"/>
      <c r="J63" s="44"/>
      <c r="K63" s="44"/>
      <c r="L63" s="44"/>
      <c r="R63" s="5"/>
    </row>
    <row r="64" spans="1:18" ht="18" customHeight="1" x14ac:dyDescent="0.25">
      <c r="A64" s="237" t="s">
        <v>229</v>
      </c>
      <c r="C64" s="240">
        <v>15</v>
      </c>
      <c r="D64" s="242">
        <f t="shared" si="2"/>
        <v>15.434999999999999</v>
      </c>
      <c r="E64" s="242">
        <f>D64*(1+$E$43)</f>
        <v>15.882614999999998</v>
      </c>
      <c r="F64" s="242">
        <f>E64*(1+$F$43)</f>
        <v>16.343210834999997</v>
      </c>
      <c r="G64" s="44"/>
      <c r="H64" s="44"/>
      <c r="I64" s="44"/>
      <c r="J64" s="44"/>
      <c r="K64" s="44"/>
      <c r="L64" s="44"/>
    </row>
    <row r="65" spans="1:18" ht="18" customHeight="1" x14ac:dyDescent="0.25">
      <c r="A65" s="231" t="s">
        <v>230</v>
      </c>
      <c r="C65" s="52"/>
      <c r="D65" s="242">
        <f t="shared" si="2"/>
        <v>0</v>
      </c>
      <c r="E65" s="242">
        <f>D65*(1+$E$43)</f>
        <v>0</v>
      </c>
      <c r="F65" s="242">
        <f>E65*(1+$F$43)</f>
        <v>0</v>
      </c>
      <c r="G65" s="44"/>
      <c r="H65" s="44"/>
      <c r="I65" s="44"/>
      <c r="J65" s="44"/>
      <c r="K65" s="44"/>
      <c r="L65" s="44"/>
    </row>
    <row r="66" spans="1:18" ht="18" customHeight="1" x14ac:dyDescent="0.25">
      <c r="A66" s="237" t="s">
        <v>231</v>
      </c>
      <c r="C66" s="52"/>
      <c r="D66" s="242">
        <f t="shared" si="2"/>
        <v>0</v>
      </c>
      <c r="E66" s="242">
        <f>D66*(1+$E$43)</f>
        <v>0</v>
      </c>
      <c r="F66" s="242">
        <f>E66*(1+$F$43)</f>
        <v>0</v>
      </c>
      <c r="G66" s="44"/>
      <c r="H66" s="44"/>
      <c r="I66" s="44"/>
      <c r="J66" s="44"/>
      <c r="K66" s="44"/>
      <c r="L66" s="44"/>
    </row>
    <row r="67" spans="1:18" ht="18" customHeight="1" x14ac:dyDescent="0.25">
      <c r="A67" s="231" t="s">
        <v>232</v>
      </c>
      <c r="C67" s="240">
        <v>10</v>
      </c>
      <c r="D67" s="242">
        <f t="shared" si="2"/>
        <v>10.29</v>
      </c>
      <c r="E67" s="242">
        <f>D67*(1+$D$43)</f>
        <v>10.588409999999998</v>
      </c>
      <c r="F67" s="242">
        <f>E67*(1+$D$43)</f>
        <v>10.895473889999996</v>
      </c>
      <c r="G67" s="44"/>
      <c r="H67" s="44"/>
      <c r="I67" s="44"/>
      <c r="J67" s="44"/>
      <c r="K67" s="44"/>
      <c r="L67" s="44"/>
    </row>
    <row r="68" spans="1:18" ht="18" customHeight="1" x14ac:dyDescent="0.25">
      <c r="A68" s="248" t="s">
        <v>233</v>
      </c>
      <c r="B68" s="53"/>
      <c r="C68" s="248">
        <f>SUM(C62:C67)</f>
        <v>30</v>
      </c>
      <c r="D68" s="248">
        <f>SUM(D62:D67)</f>
        <v>30.869999999999997</v>
      </c>
      <c r="E68" s="248">
        <f>SUM(E62:E67)</f>
        <v>31.765229999999995</v>
      </c>
      <c r="F68" s="248">
        <f>SUM(F62:F67)</f>
        <v>32.686421669999994</v>
      </c>
      <c r="G68" s="44"/>
      <c r="H68" s="44"/>
      <c r="I68" s="44"/>
      <c r="J68" s="38"/>
      <c r="K68" s="44"/>
      <c r="L68" s="44"/>
      <c r="R68" s="5"/>
    </row>
    <row r="69" spans="1:18" ht="18" customHeight="1" x14ac:dyDescent="0.25">
      <c r="A69" s="231" t="s">
        <v>234</v>
      </c>
      <c r="C69" s="240">
        <v>60</v>
      </c>
      <c r="D69" s="242">
        <f>C69*(1+$D$43)</f>
        <v>61.739999999999995</v>
      </c>
      <c r="E69" s="242">
        <f>D69*(1+$E$43)</f>
        <v>63.530459999999991</v>
      </c>
      <c r="F69" s="242">
        <f>E69*(1+$F$43)</f>
        <v>65.372843339999989</v>
      </c>
      <c r="G69" s="44"/>
      <c r="H69" s="54"/>
      <c r="I69" s="55"/>
      <c r="J69" s="55"/>
      <c r="K69" s="38"/>
      <c r="L69" s="44"/>
      <c r="R69" s="5"/>
    </row>
    <row r="70" spans="1:18" ht="18" customHeight="1" x14ac:dyDescent="0.25">
      <c r="A70" s="237" t="s">
        <v>235</v>
      </c>
      <c r="C70" s="52"/>
      <c r="D70" s="242">
        <f>C70*(1+$D$43)</f>
        <v>0</v>
      </c>
      <c r="E70" s="242">
        <f>D70*(1+$E$43)</f>
        <v>0</v>
      </c>
      <c r="F70" s="242">
        <f>E70*(1+$F$43)</f>
        <v>0</v>
      </c>
      <c r="G70" s="44"/>
      <c r="H70" s="54"/>
      <c r="I70" s="55"/>
      <c r="J70" s="55"/>
      <c r="K70" s="38"/>
      <c r="L70" s="44"/>
      <c r="R70" s="5"/>
    </row>
    <row r="71" spans="1:18" ht="18" customHeight="1" x14ac:dyDescent="0.25">
      <c r="A71" s="231" t="s">
        <v>236</v>
      </c>
      <c r="C71" s="52"/>
      <c r="D71" s="242">
        <f>C71*(1+$D$43)</f>
        <v>0</v>
      </c>
      <c r="E71" s="242">
        <f>D71*(1+$E$43)</f>
        <v>0</v>
      </c>
      <c r="F71" s="242">
        <f>E71*(1+$F$43)</f>
        <v>0</v>
      </c>
      <c r="G71" s="44"/>
      <c r="H71" s="54"/>
      <c r="I71" s="55"/>
      <c r="J71" s="55"/>
      <c r="K71" s="38"/>
      <c r="L71" s="44"/>
      <c r="R71" s="5"/>
    </row>
    <row r="72" spans="1:18" ht="18" customHeight="1" x14ac:dyDescent="0.25">
      <c r="A72" s="237" t="s">
        <v>237</v>
      </c>
      <c r="C72" s="52"/>
      <c r="D72" s="242">
        <f>C72*(1+$D$43)</f>
        <v>0</v>
      </c>
      <c r="E72" s="242">
        <f>D72*(1+$E$43)</f>
        <v>0</v>
      </c>
      <c r="F72" s="242">
        <f>E72*(1+$F$43)</f>
        <v>0</v>
      </c>
      <c r="G72" s="44"/>
      <c r="H72" s="54"/>
      <c r="I72" s="55"/>
      <c r="J72" s="55"/>
      <c r="K72" s="38"/>
      <c r="L72" s="44"/>
      <c r="R72" s="5"/>
    </row>
    <row r="73" spans="1:18" ht="18" customHeight="1" x14ac:dyDescent="0.25">
      <c r="A73" s="231" t="s">
        <v>238</v>
      </c>
      <c r="C73" s="52"/>
      <c r="D73" s="242">
        <f>C73*(1+$D$43)</f>
        <v>0</v>
      </c>
      <c r="E73" s="242">
        <f>D73*(1+$E$43)</f>
        <v>0</v>
      </c>
      <c r="F73" s="242">
        <f>E73*(1+$F$43)</f>
        <v>0</v>
      </c>
      <c r="G73" s="44"/>
      <c r="H73" s="54"/>
      <c r="I73" s="55"/>
      <c r="J73" s="55"/>
      <c r="K73" s="38"/>
      <c r="L73" s="44"/>
      <c r="R73" s="5"/>
    </row>
    <row r="74" spans="1:18" ht="18" customHeight="1" x14ac:dyDescent="0.25">
      <c r="A74" s="237" t="s">
        <v>239</v>
      </c>
      <c r="C74" s="240">
        <v>20</v>
      </c>
      <c r="D74" s="241">
        <f>C74*(1+D44)</f>
        <v>20.2</v>
      </c>
      <c r="E74" s="241">
        <f>D74*(1+E44)</f>
        <v>22.220000000000002</v>
      </c>
      <c r="F74" s="241">
        <f>E74*(1+F44)</f>
        <v>25.553000000000001</v>
      </c>
      <c r="G74" s="44"/>
      <c r="H74" s="54"/>
      <c r="I74" s="55"/>
      <c r="J74" s="55"/>
      <c r="K74" s="38"/>
      <c r="L74" s="44"/>
      <c r="R74" s="5"/>
    </row>
    <row r="75" spans="1:18" ht="18" customHeight="1" x14ac:dyDescent="0.25">
      <c r="A75" s="231" t="s">
        <v>240</v>
      </c>
      <c r="C75" s="52"/>
      <c r="D75" s="242">
        <f>C75*(1+$D$43)</f>
        <v>0</v>
      </c>
      <c r="E75" s="242">
        <f>D75*(1+$E$43)</f>
        <v>0</v>
      </c>
      <c r="F75" s="242">
        <f>E75*(1+$F$43)</f>
        <v>0</v>
      </c>
      <c r="G75" s="44"/>
      <c r="H75" s="54"/>
      <c r="I75" s="55"/>
      <c r="J75" s="55"/>
      <c r="K75" s="38"/>
      <c r="L75" s="44"/>
      <c r="R75" s="5"/>
    </row>
    <row r="76" spans="1:18" ht="18" customHeight="1" x14ac:dyDescent="0.25">
      <c r="A76" s="237" t="s">
        <v>241</v>
      </c>
      <c r="C76" s="240">
        <v>10</v>
      </c>
      <c r="D76" s="242">
        <f>C76*(1+$D$43)</f>
        <v>10.29</v>
      </c>
      <c r="E76" s="242">
        <f>D76*(1+$E$43)</f>
        <v>10.588409999999998</v>
      </c>
      <c r="F76" s="242">
        <f>E76*(1+$F$43)</f>
        <v>10.895473889999996</v>
      </c>
      <c r="G76" s="44"/>
      <c r="H76" s="54"/>
      <c r="I76" s="55"/>
      <c r="J76" s="55"/>
      <c r="K76" s="38"/>
      <c r="L76" s="44"/>
    </row>
    <row r="77" spans="1:18" ht="18" customHeight="1" x14ac:dyDescent="0.25">
      <c r="A77" s="231" t="s">
        <v>232</v>
      </c>
      <c r="C77" s="240">
        <v>60</v>
      </c>
      <c r="D77" s="242">
        <f>C77*(1+$D$43)</f>
        <v>61.739999999999995</v>
      </c>
      <c r="E77" s="242">
        <f>D77*(1+$E$43)</f>
        <v>63.530459999999991</v>
      </c>
      <c r="F77" s="242">
        <f>E77*(1+$F$43)</f>
        <v>65.372843339999989</v>
      </c>
      <c r="G77" s="44"/>
      <c r="H77" s="54"/>
      <c r="I77" s="55"/>
      <c r="J77" s="55"/>
      <c r="K77" s="38"/>
      <c r="L77" s="44"/>
    </row>
    <row r="78" spans="1:18" ht="18" customHeight="1" x14ac:dyDescent="0.25">
      <c r="A78" s="248" t="s">
        <v>242</v>
      </c>
      <c r="B78" s="53"/>
      <c r="C78" s="248">
        <f>SUM(C69:C77)</f>
        <v>150</v>
      </c>
      <c r="D78" s="248">
        <f>SUM(D69:D77)</f>
        <v>153.96999999999997</v>
      </c>
      <c r="E78" s="248">
        <f>SUM(E69:E77)</f>
        <v>159.86932999999999</v>
      </c>
      <c r="F78" s="248">
        <f>SUM(F69:F77)</f>
        <v>167.19416056999995</v>
      </c>
      <c r="G78" s="44"/>
      <c r="H78" s="54"/>
      <c r="I78" s="55"/>
      <c r="J78" s="55"/>
      <c r="K78" s="38"/>
      <c r="L78" s="44"/>
    </row>
    <row r="79" spans="1:18" ht="18" customHeight="1" x14ac:dyDescent="0.25">
      <c r="A79" s="248" t="s">
        <v>243</v>
      </c>
      <c r="B79" s="56"/>
      <c r="C79" s="249">
        <f>+C78+C68</f>
        <v>180</v>
      </c>
      <c r="D79" s="248">
        <f>+D78+D68</f>
        <v>184.83999999999997</v>
      </c>
      <c r="E79" s="248">
        <f>+E78+E68</f>
        <v>191.63455999999999</v>
      </c>
      <c r="F79" s="248">
        <f>+F78+F68</f>
        <v>199.88058223999994</v>
      </c>
      <c r="G79" s="44"/>
      <c r="H79" s="44"/>
      <c r="I79" s="44"/>
      <c r="J79" s="44"/>
      <c r="K79" s="44"/>
      <c r="L79" s="44"/>
    </row>
    <row r="80" spans="1:18" ht="18" customHeight="1" x14ac:dyDescent="0.25">
      <c r="A80" s="237" t="s">
        <v>244</v>
      </c>
      <c r="B80" s="20"/>
      <c r="C80" s="236">
        <f>C79/(C2*(1-F8))</f>
        <v>3.4559557637662233E-2</v>
      </c>
      <c r="D80" s="236">
        <f>+D79/E125</f>
        <v>3.8836828171618258E-2</v>
      </c>
      <c r="E80" s="236">
        <f>+E79/G125</f>
        <v>3.679336456493356E-2</v>
      </c>
      <c r="F80" s="236">
        <f>+F79/I125</f>
        <v>3.729502484922128E-2</v>
      </c>
      <c r="G80" s="44"/>
      <c r="H80" s="44"/>
      <c r="I80" s="44"/>
      <c r="J80" s="44"/>
      <c r="K80" s="44"/>
      <c r="L80" s="44"/>
    </row>
    <row r="81" spans="1:40" ht="18" customHeight="1" x14ac:dyDescent="0.25">
      <c r="A81" s="26"/>
      <c r="G81" s="38"/>
      <c r="H81" s="38"/>
      <c r="I81" s="38"/>
      <c r="J81" s="38"/>
      <c r="K81" s="38"/>
      <c r="L81" s="38"/>
    </row>
    <row r="82" spans="1:40" ht="18" customHeight="1" x14ac:dyDescent="0.25">
      <c r="A82" s="230" t="s">
        <v>245</v>
      </c>
      <c r="B82" s="230" t="s">
        <v>246</v>
      </c>
      <c r="C82" s="230" t="s">
        <v>243</v>
      </c>
      <c r="D82" s="230" t="s">
        <v>247</v>
      </c>
      <c r="E82" s="230" t="s">
        <v>248</v>
      </c>
      <c r="F82" s="230" t="s">
        <v>249</v>
      </c>
      <c r="G82" s="57"/>
      <c r="H82" s="38"/>
      <c r="I82" s="58"/>
      <c r="J82" s="58"/>
      <c r="K82" s="38"/>
      <c r="L82" s="38"/>
      <c r="AM82" s="59"/>
      <c r="AN82" s="59"/>
    </row>
    <row r="83" spans="1:40" ht="18" customHeight="1" x14ac:dyDescent="0.25">
      <c r="A83" s="231" t="s">
        <v>250</v>
      </c>
      <c r="B83" s="232">
        <v>0.22</v>
      </c>
      <c r="C83" s="60"/>
      <c r="D83" s="231" t="s">
        <v>251</v>
      </c>
      <c r="E83" s="227" t="s">
        <v>252</v>
      </c>
      <c r="F83" s="231" t="s">
        <v>253</v>
      </c>
      <c r="G83" s="61"/>
      <c r="H83" s="38"/>
      <c r="I83" s="38"/>
      <c r="J83" s="62"/>
      <c r="K83" s="38"/>
      <c r="L83" s="38"/>
      <c r="AM83" s="59"/>
      <c r="AN83" s="59"/>
    </row>
    <row r="84" spans="1:40" ht="18" customHeight="1" x14ac:dyDescent="0.25">
      <c r="A84" s="237" t="s">
        <v>254</v>
      </c>
      <c r="B84" s="258">
        <f>+B83</f>
        <v>0.22</v>
      </c>
      <c r="C84" s="220">
        <f>+C30</f>
        <v>0</v>
      </c>
      <c r="D84" s="63"/>
      <c r="E84" s="220">
        <f>IF(D84&gt;C84,"ERR",C84-D84)</f>
        <v>0</v>
      </c>
      <c r="F84" s="259">
        <v>0</v>
      </c>
      <c r="G84" s="237" t="str">
        <f>IF(E84="ERR","importo leasing maggiore dell'investimento","")</f>
        <v/>
      </c>
      <c r="H84" s="38"/>
      <c r="I84" s="38"/>
      <c r="J84" s="38"/>
      <c r="K84" s="38"/>
      <c r="L84" s="38"/>
      <c r="AM84" s="59"/>
      <c r="AN84" s="59"/>
    </row>
    <row r="85" spans="1:40" ht="18" customHeight="1" x14ac:dyDescent="0.25">
      <c r="A85" s="231" t="s">
        <v>255</v>
      </c>
      <c r="B85" s="258">
        <f>+B83</f>
        <v>0.22</v>
      </c>
      <c r="C85" s="260">
        <v>620</v>
      </c>
      <c r="D85" s="260">
        <v>620</v>
      </c>
      <c r="E85" s="220">
        <f>IF(D85&gt;C85,"ERR",C85-D85)</f>
        <v>0</v>
      </c>
      <c r="F85" s="259">
        <v>0</v>
      </c>
      <c r="G85" s="231" t="str">
        <f>IF(E85="ERR","importo leasing maggiore dell'investimento","")</f>
        <v/>
      </c>
      <c r="H85" s="38"/>
      <c r="I85" s="38"/>
      <c r="J85" s="38"/>
      <c r="K85" s="38"/>
      <c r="L85" s="38"/>
      <c r="AM85" s="59"/>
      <c r="AN85" s="59"/>
    </row>
    <row r="86" spans="1:40" ht="18" customHeight="1" x14ac:dyDescent="0.25">
      <c r="A86" s="237" t="s">
        <v>256</v>
      </c>
      <c r="B86" s="258">
        <f>+B83</f>
        <v>0.22</v>
      </c>
      <c r="C86" s="260">
        <v>230</v>
      </c>
      <c r="D86" s="63"/>
      <c r="E86" s="220">
        <f>IF(D86&gt;C86,"ERR",C86-D86)</f>
        <v>230</v>
      </c>
      <c r="F86" s="259">
        <v>0</v>
      </c>
      <c r="G86" s="237" t="str">
        <f>IF(E86="ERR","importo leasing maggiore dell'investimento","")</f>
        <v/>
      </c>
      <c r="H86" s="261" t="s">
        <v>257</v>
      </c>
      <c r="I86" s="38"/>
      <c r="J86" s="38"/>
      <c r="K86" s="38"/>
      <c r="L86" s="38"/>
      <c r="AM86" s="59"/>
      <c r="AN86" s="59"/>
    </row>
    <row r="87" spans="1:40" ht="18" customHeight="1" x14ac:dyDescent="0.25">
      <c r="A87" s="231" t="s">
        <v>258</v>
      </c>
      <c r="B87" s="262">
        <v>0</v>
      </c>
      <c r="C87" s="260">
        <v>0</v>
      </c>
      <c r="D87" s="260">
        <v>0</v>
      </c>
      <c r="E87" s="220">
        <f>IF(D87&gt;C87,"ERR",C87-D87)</f>
        <v>0</v>
      </c>
      <c r="F87" s="259">
        <v>0</v>
      </c>
      <c r="G87" s="231" t="str">
        <f>IF(E87="ERR","importo leasing maggiore dell'investimento","")</f>
        <v/>
      </c>
      <c r="H87" s="38"/>
      <c r="I87" s="38"/>
      <c r="J87" s="38"/>
      <c r="K87" s="38"/>
      <c r="L87" s="38"/>
      <c r="AM87" s="59"/>
      <c r="AN87" s="59"/>
    </row>
    <row r="88" spans="1:40" ht="18" customHeight="1" x14ac:dyDescent="0.25">
      <c r="A88" s="237" t="s">
        <v>259</v>
      </c>
      <c r="B88" s="263">
        <v>0</v>
      </c>
      <c r="C88" s="260">
        <v>0</v>
      </c>
      <c r="D88" s="64"/>
      <c r="E88" s="220">
        <f>IF(D88&gt;C88,"ERR",C88-D88)</f>
        <v>0</v>
      </c>
      <c r="F88" s="259">
        <v>0</v>
      </c>
      <c r="H88" s="38"/>
      <c r="I88" s="38"/>
      <c r="J88" s="38"/>
      <c r="K88" s="38"/>
      <c r="L88" s="38"/>
      <c r="AM88" s="59"/>
      <c r="AN88" s="59"/>
    </row>
    <row r="89" spans="1:40" ht="18" customHeight="1" x14ac:dyDescent="0.25">
      <c r="A89" s="231" t="s">
        <v>260</v>
      </c>
      <c r="B89" s="262">
        <v>0</v>
      </c>
      <c r="C89" s="260">
        <v>0</v>
      </c>
      <c r="D89" s="64"/>
      <c r="E89" s="220">
        <f>C89</f>
        <v>0</v>
      </c>
      <c r="F89" s="259">
        <v>0</v>
      </c>
      <c r="H89" s="38"/>
      <c r="I89" s="38"/>
      <c r="J89" s="38"/>
      <c r="K89" s="38"/>
      <c r="L89" s="38"/>
    </row>
    <row r="90" spans="1:40" ht="18" customHeight="1" x14ac:dyDescent="0.25">
      <c r="A90" s="248" t="s">
        <v>261</v>
      </c>
      <c r="B90" s="65"/>
      <c r="C90" s="249">
        <f>SUM(C84:C89)</f>
        <v>850</v>
      </c>
      <c r="D90" s="248">
        <f>SUM(D84:D89)</f>
        <v>620</v>
      </c>
      <c r="E90" s="248">
        <f>SUM(E84:E89)</f>
        <v>230</v>
      </c>
      <c r="F90" s="66"/>
      <c r="H90" s="38"/>
      <c r="I90" s="38"/>
      <c r="J90" s="38"/>
      <c r="K90" s="38"/>
      <c r="L90" s="38"/>
      <c r="AM90" s="59"/>
      <c r="AN90" s="59"/>
    </row>
    <row r="91" spans="1:40" ht="18" customHeight="1" x14ac:dyDescent="0.25">
      <c r="A91" s="67"/>
      <c r="H91" s="38"/>
      <c r="I91" s="38"/>
      <c r="J91" s="38"/>
      <c r="K91" s="44"/>
      <c r="L91" s="44"/>
      <c r="AM91" s="59"/>
      <c r="AN91" s="59"/>
    </row>
    <row r="92" spans="1:40" ht="18" customHeight="1" x14ac:dyDescent="0.25">
      <c r="A92" s="230" t="s">
        <v>262</v>
      </c>
      <c r="B92" s="230" t="s">
        <v>263</v>
      </c>
      <c r="C92" s="230" t="s">
        <v>264</v>
      </c>
      <c r="D92" s="230" t="s">
        <v>265</v>
      </c>
      <c r="E92" s="230" t="s">
        <v>266</v>
      </c>
      <c r="F92" s="230" t="s">
        <v>267</v>
      </c>
      <c r="G92" s="68"/>
      <c r="H92" s="69"/>
      <c r="I92" s="38"/>
      <c r="J92" s="38"/>
      <c r="K92" s="70"/>
      <c r="L92" s="44"/>
      <c r="M92"/>
      <c r="N92"/>
      <c r="O92"/>
      <c r="P92"/>
      <c r="Q92"/>
      <c r="R92"/>
    </row>
    <row r="93" spans="1:40" ht="18" customHeight="1" x14ac:dyDescent="0.25">
      <c r="A93" s="231" t="s">
        <v>268</v>
      </c>
      <c r="B93" s="241">
        <f>+D84+D86</f>
        <v>0</v>
      </c>
      <c r="C93" s="259">
        <v>15</v>
      </c>
      <c r="D93" s="232">
        <v>4.3400000000000001E-2</v>
      </c>
      <c r="E93" s="264">
        <v>0.1</v>
      </c>
      <c r="F93" s="241">
        <f>+B93*E93</f>
        <v>0</v>
      </c>
      <c r="H93" s="38"/>
      <c r="I93" s="38"/>
      <c r="J93" s="38"/>
      <c r="K93" s="70"/>
      <c r="L93" s="44"/>
      <c r="M93"/>
      <c r="N93"/>
      <c r="O93"/>
      <c r="P93"/>
      <c r="Q93"/>
      <c r="R93"/>
    </row>
    <row r="94" spans="1:40" ht="18" customHeight="1" x14ac:dyDescent="0.25">
      <c r="A94" s="237" t="s">
        <v>269</v>
      </c>
      <c r="B94" s="241">
        <f>+D85</f>
        <v>620</v>
      </c>
      <c r="C94" s="259">
        <v>7</v>
      </c>
      <c r="D94" s="232">
        <v>4.3400000000000001E-2</v>
      </c>
      <c r="E94" s="264">
        <v>0.1</v>
      </c>
      <c r="F94" s="241">
        <f>+B94*E94</f>
        <v>62</v>
      </c>
      <c r="H94" s="38"/>
      <c r="I94" s="38"/>
      <c r="J94" s="38"/>
      <c r="K94" s="70"/>
      <c r="L94" s="44"/>
      <c r="M94"/>
      <c r="N94"/>
      <c r="O94"/>
      <c r="P94"/>
      <c r="Q94"/>
      <c r="R94"/>
    </row>
    <row r="95" spans="1:40" ht="18" customHeight="1" x14ac:dyDescent="0.25">
      <c r="A95" s="231" t="s">
        <v>270</v>
      </c>
      <c r="B95" s="241">
        <f>+D87</f>
        <v>0</v>
      </c>
      <c r="C95" s="259">
        <v>5</v>
      </c>
      <c r="D95" s="232">
        <v>4.3400000000000001E-2</v>
      </c>
      <c r="E95" s="264">
        <v>0.15</v>
      </c>
      <c r="F95" s="241">
        <f>+B95*E95</f>
        <v>0</v>
      </c>
      <c r="H95" s="38"/>
      <c r="I95" s="38"/>
      <c r="J95" s="38"/>
      <c r="K95" s="70"/>
      <c r="L95" s="44"/>
      <c r="M95"/>
      <c r="N95"/>
      <c r="O95"/>
      <c r="P95"/>
      <c r="Q95"/>
      <c r="R95"/>
    </row>
    <row r="96" spans="1:40" ht="18" customHeight="1" x14ac:dyDescent="0.25">
      <c r="A96" s="248" t="s">
        <v>271</v>
      </c>
      <c r="B96" s="249">
        <f>SUM(B93:B95)</f>
        <v>620</v>
      </c>
      <c r="C96" s="71"/>
      <c r="D96" s="72"/>
      <c r="E96" s="73"/>
      <c r="F96" s="248">
        <f>SUM(F93:F95)</f>
        <v>62</v>
      </c>
      <c r="H96" s="38"/>
      <c r="I96" s="38"/>
      <c r="J96" s="38"/>
      <c r="K96" s="70"/>
      <c r="L96" s="44"/>
      <c r="M96"/>
      <c r="N96"/>
      <c r="O96"/>
      <c r="P96"/>
      <c r="Q96"/>
      <c r="R96"/>
    </row>
    <row r="97" spans="1:23" ht="18" customHeight="1" x14ac:dyDescent="0.25">
      <c r="A97" s="231" t="s">
        <v>272</v>
      </c>
      <c r="B97" s="74"/>
      <c r="C97" s="259">
        <v>4</v>
      </c>
      <c r="D97" s="232">
        <v>4.3400000000000001E-2</v>
      </c>
      <c r="E97" s="75"/>
      <c r="J97"/>
      <c r="L97"/>
      <c r="M97"/>
      <c r="N97"/>
      <c r="O97"/>
      <c r="P97"/>
      <c r="Q97"/>
      <c r="R97"/>
    </row>
    <row r="98" spans="1:23" ht="18" customHeight="1" x14ac:dyDescent="0.25">
      <c r="A98" s="237" t="s">
        <v>273</v>
      </c>
      <c r="B98" s="76"/>
      <c r="C98" s="259">
        <v>5</v>
      </c>
      <c r="D98" s="232">
        <v>4.3400000000000001E-2</v>
      </c>
      <c r="E98" s="77"/>
      <c r="F98" s="78"/>
      <c r="J98"/>
      <c r="L98"/>
      <c r="M98"/>
      <c r="N98"/>
      <c r="O98"/>
      <c r="P98"/>
      <c r="Q98"/>
      <c r="R98"/>
    </row>
    <row r="99" spans="1:23" ht="18" customHeight="1" x14ac:dyDescent="0.25">
      <c r="A99" s="79"/>
      <c r="B99" s="80"/>
      <c r="C99" s="5"/>
      <c r="D99" s="78"/>
      <c r="F99" s="78"/>
      <c r="J99"/>
      <c r="L99"/>
      <c r="M99"/>
      <c r="N99"/>
      <c r="O99"/>
      <c r="P99"/>
      <c r="Q99"/>
      <c r="R99"/>
    </row>
    <row r="100" spans="1:23" ht="18" customHeight="1" x14ac:dyDescent="0.25">
      <c r="A100" s="313" t="s">
        <v>274</v>
      </c>
      <c r="B100" s="294"/>
      <c r="C100" s="238">
        <v>250</v>
      </c>
      <c r="D100" s="237" t="str">
        <f>IF(C100&lt;1,"MANCA CAPITALE SOCIALE","")</f>
        <v/>
      </c>
      <c r="J100"/>
      <c r="L100"/>
      <c r="M100"/>
      <c r="N100"/>
      <c r="O100"/>
      <c r="P100"/>
      <c r="Q100"/>
      <c r="R100"/>
      <c r="W100" s="5"/>
    </row>
    <row r="101" spans="1:23" ht="18" customHeight="1" x14ac:dyDescent="0.25">
      <c r="A101" s="222" t="s">
        <v>275</v>
      </c>
      <c r="B101" s="81"/>
      <c r="C101" s="265">
        <v>0</v>
      </c>
      <c r="D101" s="222" t="s">
        <v>276</v>
      </c>
      <c r="J101"/>
      <c r="K101"/>
      <c r="L101"/>
      <c r="M101"/>
      <c r="N101"/>
      <c r="O101"/>
      <c r="P101"/>
      <c r="Q101"/>
      <c r="R101"/>
    </row>
    <row r="102" spans="1:23" ht="18" customHeight="1" x14ac:dyDescent="0.25">
      <c r="A102" s="222" t="s">
        <v>277</v>
      </c>
      <c r="B102" s="20"/>
      <c r="C102" s="265">
        <v>0</v>
      </c>
      <c r="D102" s="222" t="s">
        <v>278</v>
      </c>
      <c r="J102"/>
      <c r="K102"/>
      <c r="L102"/>
      <c r="M102"/>
      <c r="N102"/>
      <c r="O102"/>
      <c r="P102"/>
      <c r="Q102"/>
      <c r="R102"/>
    </row>
    <row r="103" spans="1:23" ht="18" customHeight="1" x14ac:dyDescent="0.25">
      <c r="A103" s="82"/>
      <c r="B103" s="82"/>
      <c r="J103"/>
      <c r="K103"/>
      <c r="L103"/>
      <c r="M103"/>
      <c r="N103"/>
      <c r="O103"/>
      <c r="P103"/>
      <c r="Q103"/>
      <c r="R103"/>
    </row>
    <row r="104" spans="1:23" ht="18" customHeight="1" x14ac:dyDescent="0.25">
      <c r="A104" s="230" t="s">
        <v>279</v>
      </c>
      <c r="B104" s="230" t="s">
        <v>193</v>
      </c>
      <c r="C104" s="266">
        <v>1</v>
      </c>
      <c r="D104" s="266">
        <v>2</v>
      </c>
      <c r="E104" s="266">
        <v>3</v>
      </c>
      <c r="F104" s="266">
        <v>4</v>
      </c>
      <c r="J104"/>
      <c r="K104"/>
      <c r="L104"/>
      <c r="M104"/>
      <c r="N104"/>
      <c r="O104"/>
      <c r="P104"/>
      <c r="Q104"/>
      <c r="R104"/>
    </row>
    <row r="105" spans="1:23" ht="18" customHeight="1" x14ac:dyDescent="0.25">
      <c r="A105" s="222" t="s">
        <v>280</v>
      </c>
      <c r="C105" s="267">
        <f>+CALCOLI!D14</f>
        <v>101.56585828617115</v>
      </c>
      <c r="D105" s="267">
        <f>+CALCOLI!E14</f>
        <v>36.122478772342319</v>
      </c>
      <c r="E105" s="267">
        <f>+CALCOLI!F14</f>
        <v>5.8211748053134897</v>
      </c>
      <c r="F105" s="267">
        <f>+CALCOLI!G14</f>
        <v>-10.953839251058142</v>
      </c>
      <c r="G105" s="222" t="s">
        <v>281</v>
      </c>
      <c r="J105"/>
      <c r="K105"/>
      <c r="L105"/>
      <c r="M105"/>
      <c r="N105"/>
      <c r="O105"/>
      <c r="P105"/>
      <c r="Q105"/>
      <c r="R105"/>
    </row>
    <row r="106" spans="1:23" ht="18" customHeight="1" x14ac:dyDescent="0.25">
      <c r="A106" s="222" t="s">
        <v>282</v>
      </c>
      <c r="C106" s="268">
        <v>65</v>
      </c>
      <c r="D106" s="268">
        <v>14</v>
      </c>
      <c r="E106" s="268">
        <v>0</v>
      </c>
      <c r="F106" s="268">
        <v>0</v>
      </c>
      <c r="G106" s="222" t="s">
        <v>283</v>
      </c>
      <c r="K106" s="83"/>
      <c r="L106"/>
      <c r="M106"/>
      <c r="N106"/>
      <c r="O106"/>
      <c r="P106"/>
      <c r="Q106"/>
      <c r="R106"/>
    </row>
    <row r="107" spans="1:23" ht="18" customHeight="1" x14ac:dyDescent="0.25">
      <c r="A107" s="84"/>
      <c r="B107" s="231" t="s">
        <v>284</v>
      </c>
      <c r="C107" s="269">
        <v>2</v>
      </c>
      <c r="D107" s="269">
        <v>3</v>
      </c>
      <c r="E107" s="269">
        <v>4</v>
      </c>
      <c r="F107" s="269">
        <v>5</v>
      </c>
      <c r="K107" s="83"/>
      <c r="L107"/>
      <c r="M107"/>
      <c r="N107"/>
      <c r="O107"/>
      <c r="P107"/>
      <c r="Q107"/>
      <c r="R107"/>
    </row>
    <row r="108" spans="1:23" ht="18" customHeight="1" x14ac:dyDescent="0.25">
      <c r="A108" s="237" t="str">
        <f>IF(OR(C108="ERR",D108="ERR",E108="ERR",F108="ERR"),"Importo a rimborso maggiore del credito","")</f>
        <v/>
      </c>
      <c r="C108" s="237" t="str">
        <f>IF(C106=0,"",IF(C106&gt;C105,"ERR",""))</f>
        <v/>
      </c>
      <c r="D108" s="237" t="str">
        <f>IF(D106=0,"",IF(D106&gt;D105,"ERR",""))</f>
        <v/>
      </c>
      <c r="E108" s="237" t="str">
        <f>IF(E106=0,"",IF(E106&gt;E105,"ERR",""))</f>
        <v/>
      </c>
      <c r="F108" s="237" t="str">
        <f>IF(F106=0,"",IF(F106&gt;F105,"ERR",""))</f>
        <v/>
      </c>
      <c r="K108" s="83"/>
      <c r="L108"/>
      <c r="M108"/>
      <c r="N108"/>
      <c r="O108"/>
      <c r="P108"/>
      <c r="Q108"/>
      <c r="R108"/>
    </row>
    <row r="109" spans="1:23" ht="18" customHeight="1" x14ac:dyDescent="0.25">
      <c r="A109" s="231" t="str">
        <f>IF(OR(C109="ERR",D109="ERR",E109="ERR",F109="ERR"),"Controllo anno","")</f>
        <v/>
      </c>
      <c r="B109" s="82"/>
      <c r="C109" s="231" t="str">
        <f>IF(OR(C107=C104,C107&lt;C104),"ERR","")</f>
        <v/>
      </c>
      <c r="D109" s="231" t="str">
        <f>IF(OR(D107=D104,D107&lt;D104),"ERR","")</f>
        <v/>
      </c>
      <c r="E109" s="231" t="str">
        <f>IF(OR(E107=E104,E107&lt;E104),"ERR","")</f>
        <v/>
      </c>
      <c r="F109" s="231" t="str">
        <f>IF(OR(F107=F104,F107&lt;F104),"ERR","")</f>
        <v/>
      </c>
      <c r="K109"/>
      <c r="L109"/>
      <c r="M109"/>
      <c r="N109"/>
      <c r="O109"/>
      <c r="P109"/>
      <c r="Q109"/>
      <c r="R109"/>
      <c r="S109"/>
      <c r="T109"/>
    </row>
    <row r="110" spans="1:23" ht="18" customHeight="1" x14ac:dyDescent="0.25">
      <c r="A110" s="308" t="s">
        <v>285</v>
      </c>
      <c r="B110" s="321"/>
      <c r="C110" s="308" t="s">
        <v>286</v>
      </c>
      <c r="D110" s="294"/>
      <c r="E110" s="308" t="s">
        <v>287</v>
      </c>
      <c r="F110" s="294"/>
      <c r="G110" s="308" t="s">
        <v>288</v>
      </c>
      <c r="H110" s="294"/>
      <c r="I110" s="308" t="s">
        <v>289</v>
      </c>
      <c r="J110" s="294"/>
      <c r="S110"/>
      <c r="T110"/>
    </row>
    <row r="111" spans="1:23" ht="18" customHeight="1" x14ac:dyDescent="0.25">
      <c r="A111" s="322"/>
      <c r="B111" s="323"/>
      <c r="C111" s="231" t="s">
        <v>290</v>
      </c>
      <c r="D111" s="231" t="s">
        <v>291</v>
      </c>
      <c r="E111" s="227" t="s">
        <v>290</v>
      </c>
      <c r="F111" s="227" t="s">
        <v>291</v>
      </c>
      <c r="G111" s="227" t="s">
        <v>290</v>
      </c>
      <c r="H111" s="227" t="s">
        <v>291</v>
      </c>
      <c r="I111" s="227" t="s">
        <v>290</v>
      </c>
      <c r="J111" s="227" t="s">
        <v>291</v>
      </c>
      <c r="S111"/>
      <c r="T111"/>
    </row>
    <row r="112" spans="1:23" ht="18" customHeight="1" x14ac:dyDescent="0.25">
      <c r="A112" s="237" t="str">
        <f t="shared" ref="A112:A117" si="3">A84</f>
        <v>IMMOBILE</v>
      </c>
      <c r="C112" s="241">
        <f t="shared" ref="C112:C117" si="4">E84</f>
        <v>0</v>
      </c>
      <c r="D112" s="236">
        <v>0.03</v>
      </c>
      <c r="E112" s="85"/>
      <c r="F112" s="239">
        <f t="shared" ref="F112:F117" si="5">D112</f>
        <v>0.03</v>
      </c>
      <c r="G112" s="85"/>
      <c r="H112" s="239">
        <f t="shared" ref="H112:H117" si="6">F112</f>
        <v>0.03</v>
      </c>
      <c r="I112" s="85"/>
      <c r="J112" s="239">
        <f t="shared" ref="J112:J117" si="7">H112</f>
        <v>0.03</v>
      </c>
      <c r="S112"/>
      <c r="T112"/>
    </row>
    <row r="113" spans="1:20" ht="18" customHeight="1" x14ac:dyDescent="0.25">
      <c r="A113" s="231" t="str">
        <f t="shared" si="3"/>
        <v>ATTREZZATURE</v>
      </c>
      <c r="C113" s="241">
        <f t="shared" si="4"/>
        <v>0</v>
      </c>
      <c r="D113" s="236">
        <v>0.12</v>
      </c>
      <c r="E113" s="85"/>
      <c r="F113" s="239">
        <f t="shared" si="5"/>
        <v>0.12</v>
      </c>
      <c r="G113" s="85"/>
      <c r="H113" s="239">
        <f t="shared" si="6"/>
        <v>0.12</v>
      </c>
      <c r="I113" s="85"/>
      <c r="J113" s="239">
        <f t="shared" si="7"/>
        <v>0.12</v>
      </c>
      <c r="L113" s="86"/>
      <c r="S113"/>
      <c r="T113"/>
    </row>
    <row r="114" spans="1:20" ht="18" customHeight="1" x14ac:dyDescent="0.25">
      <c r="A114" s="237" t="str">
        <f t="shared" si="3"/>
        <v>IMPIANTI (termico / elettrico)</v>
      </c>
      <c r="B114" s="237" t="s">
        <v>292</v>
      </c>
      <c r="C114" s="241">
        <f t="shared" si="4"/>
        <v>230</v>
      </c>
      <c r="D114" s="270">
        <v>8.3000000000000004E-2</v>
      </c>
      <c r="E114" s="85"/>
      <c r="F114" s="239">
        <f t="shared" si="5"/>
        <v>8.3000000000000004E-2</v>
      </c>
      <c r="G114" s="85"/>
      <c r="H114" s="239">
        <f t="shared" si="6"/>
        <v>8.3000000000000004E-2</v>
      </c>
      <c r="I114" s="85"/>
      <c r="J114" s="239">
        <f t="shared" si="7"/>
        <v>8.3000000000000004E-2</v>
      </c>
      <c r="S114"/>
      <c r="T114"/>
    </row>
    <row r="115" spans="1:20" ht="18" customHeight="1" x14ac:dyDescent="0.25">
      <c r="A115" s="231" t="str">
        <f t="shared" si="3"/>
        <v>AVVIAMENTO \ AZIENDA</v>
      </c>
      <c r="C115" s="241">
        <f t="shared" si="4"/>
        <v>0</v>
      </c>
      <c r="D115" s="236">
        <v>0.1</v>
      </c>
      <c r="E115" s="85"/>
      <c r="F115" s="239">
        <f t="shared" si="5"/>
        <v>0.1</v>
      </c>
      <c r="G115" s="85"/>
      <c r="H115" s="239">
        <f t="shared" si="6"/>
        <v>0.1</v>
      </c>
      <c r="I115" s="85"/>
      <c r="J115" s="239">
        <f t="shared" si="7"/>
        <v>0.1</v>
      </c>
      <c r="S115"/>
      <c r="T115"/>
    </row>
    <row r="116" spans="1:20" ht="18" customHeight="1" x14ac:dyDescent="0.25">
      <c r="A116" s="237" t="str">
        <f t="shared" si="3"/>
        <v>ALTRI IMMOBILIZZI FINANZ.</v>
      </c>
      <c r="C116" s="241">
        <f t="shared" si="4"/>
        <v>0</v>
      </c>
      <c r="D116" s="236">
        <v>0</v>
      </c>
      <c r="E116" s="85"/>
      <c r="F116" s="239">
        <f t="shared" si="5"/>
        <v>0</v>
      </c>
      <c r="G116" s="85"/>
      <c r="H116" s="239">
        <f t="shared" si="6"/>
        <v>0</v>
      </c>
      <c r="I116" s="85"/>
      <c r="J116" s="239">
        <f t="shared" si="7"/>
        <v>0</v>
      </c>
      <c r="S116"/>
      <c r="T116"/>
    </row>
    <row r="117" spans="1:20" ht="18" customHeight="1" x14ac:dyDescent="0.25">
      <c r="A117" s="231" t="str">
        <f t="shared" si="3"/>
        <v>DEPOSITO CAUZIONALE</v>
      </c>
      <c r="C117" s="241">
        <f t="shared" si="4"/>
        <v>0</v>
      </c>
      <c r="D117" s="236">
        <v>0</v>
      </c>
      <c r="E117" s="85"/>
      <c r="F117" s="239">
        <f t="shared" si="5"/>
        <v>0</v>
      </c>
      <c r="G117" s="85"/>
      <c r="H117" s="239">
        <f t="shared" si="6"/>
        <v>0</v>
      </c>
      <c r="I117" s="85"/>
      <c r="J117" s="239">
        <f t="shared" si="7"/>
        <v>0</v>
      </c>
      <c r="S117"/>
      <c r="T117"/>
    </row>
    <row r="118" spans="1:20" ht="18" customHeight="1" x14ac:dyDescent="0.25">
      <c r="A118" s="237" t="s">
        <v>293</v>
      </c>
      <c r="C118" s="241">
        <f>F96</f>
        <v>62</v>
      </c>
      <c r="D118" s="87"/>
      <c r="E118" s="85"/>
      <c r="F118" s="88"/>
      <c r="G118" s="85"/>
      <c r="H118" s="88"/>
      <c r="I118" s="85"/>
      <c r="J118" s="88"/>
      <c r="S118"/>
      <c r="T118"/>
    </row>
    <row r="119" spans="1:20" ht="18" customHeight="1" x14ac:dyDescent="0.25">
      <c r="A119" s="248" t="s">
        <v>294</v>
      </c>
      <c r="B119" s="89"/>
      <c r="C119" s="249">
        <f>SUM(C112:C118)</f>
        <v>292</v>
      </c>
      <c r="D119" s="248">
        <f>CALCOLI!E86</f>
        <v>27.947142857142858</v>
      </c>
      <c r="E119" s="248">
        <f>SUM(E112:E118)</f>
        <v>0</v>
      </c>
      <c r="F119" s="248">
        <f>(E112*F112+E113*F113+E114*F114+E115*F115)+CALCOLI!G86</f>
        <v>27.947142857142858</v>
      </c>
      <c r="G119" s="248">
        <f>SUM(G112:G118)</f>
        <v>0</v>
      </c>
      <c r="H119" s="248">
        <f>G112*H112+G113*H113+G114*H114+G115*H115+CALCOLI!I86</f>
        <v>27.947142857142858</v>
      </c>
      <c r="I119" s="248">
        <f>SUM(I112:I118)</f>
        <v>0</v>
      </c>
      <c r="J119" s="248">
        <f>I112*J112+I113*J113+I114*J114+I115*J115+CALCOLI!K86</f>
        <v>27.947142857142858</v>
      </c>
      <c r="S119"/>
      <c r="T119"/>
    </row>
    <row r="120" spans="1:20" ht="18" customHeight="1" x14ac:dyDescent="0.25">
      <c r="A120" s="26"/>
      <c r="G120"/>
      <c r="H120"/>
      <c r="I120"/>
      <c r="J120"/>
      <c r="K120"/>
      <c r="L120"/>
      <c r="M120"/>
      <c r="N120"/>
      <c r="O120" s="59"/>
      <c r="P120" s="59"/>
      <c r="Q120" s="59"/>
    </row>
    <row r="121" spans="1:20" ht="18" customHeight="1" x14ac:dyDescent="0.25">
      <c r="A121" s="222" t="s">
        <v>295</v>
      </c>
      <c r="B121" s="271" t="str">
        <f>+E1</f>
        <v>2026-08-13</v>
      </c>
      <c r="C121" s="314" t="s">
        <v>296</v>
      </c>
      <c r="D121" s="293"/>
      <c r="E121" s="293"/>
      <c r="F121" s="293"/>
      <c r="G121" s="293"/>
      <c r="H121" s="293"/>
      <c r="I121" s="293"/>
      <c r="J121" s="294"/>
    </row>
    <row r="122" spans="1:20" ht="18" customHeight="1" x14ac:dyDescent="0.25">
      <c r="A122" s="309" t="str">
        <f>IF(B1="","",B1)</f>
        <v/>
      </c>
      <c r="B122" s="293"/>
      <c r="C122" s="293"/>
      <c r="D122" s="293"/>
      <c r="E122" s="294"/>
      <c r="F122" s="227" t="str">
        <f>F1</f>
        <v xml:space="preserve">note: </v>
      </c>
      <c r="G122" s="320" t="str">
        <f>IF(G1="","",+G1)</f>
        <v/>
      </c>
      <c r="H122" s="293"/>
      <c r="I122" s="293"/>
      <c r="J122" s="294"/>
    </row>
    <row r="123" spans="1:20" ht="18" customHeight="1" x14ac:dyDescent="0.25">
      <c r="A123" s="326" t="s">
        <v>297</v>
      </c>
      <c r="B123" s="294"/>
      <c r="C123" s="326" t="s">
        <v>298</v>
      </c>
      <c r="D123" s="294"/>
      <c r="E123" s="326" t="s">
        <v>299</v>
      </c>
      <c r="F123" s="294"/>
      <c r="G123" s="326" t="s">
        <v>300</v>
      </c>
      <c r="H123" s="294"/>
      <c r="I123" s="326" t="s">
        <v>301</v>
      </c>
      <c r="J123" s="294"/>
    </row>
    <row r="124" spans="1:20" ht="18" customHeight="1" x14ac:dyDescent="0.35">
      <c r="A124" s="222" t="s">
        <v>136</v>
      </c>
      <c r="B124" s="222" t="s">
        <v>302</v>
      </c>
      <c r="C124" s="272">
        <f>IF(C14&gt;0.1,C14,D14)</f>
        <v>4800</v>
      </c>
      <c r="D124" s="90"/>
      <c r="E124" s="272">
        <f>IF(E14&gt;0.1,E14,F14)</f>
        <v>5300</v>
      </c>
      <c r="F124" s="91"/>
      <c r="G124" s="272">
        <f>IF(G14&gt;0.1,G14,H14)</f>
        <v>5800</v>
      </c>
      <c r="H124" s="91"/>
      <c r="I124" s="272">
        <f>IF(I14&gt;0.1,I14,J14)</f>
        <v>5968.2</v>
      </c>
      <c r="J124" s="92"/>
    </row>
    <row r="125" spans="1:20" ht="18" customHeight="1" x14ac:dyDescent="0.3">
      <c r="A125" s="227" t="s">
        <v>192</v>
      </c>
      <c r="B125" s="93"/>
      <c r="C125" s="273">
        <f>C124*(1-CALCOLI!D48)</f>
        <v>4310.4000000000005</v>
      </c>
      <c r="D125" s="227" t="s">
        <v>303</v>
      </c>
      <c r="E125" s="273">
        <f>E124*(1-CALCOLI!E48)</f>
        <v>4759.4000000000005</v>
      </c>
      <c r="F125" s="227" t="s">
        <v>303</v>
      </c>
      <c r="G125" s="273">
        <f>G124*(1-CALCOLI!F48)</f>
        <v>5208.4000000000005</v>
      </c>
      <c r="H125" s="227" t="s">
        <v>303</v>
      </c>
      <c r="I125" s="273">
        <f>I124*(1-CALCOLI!G48)</f>
        <v>5359.4435999999996</v>
      </c>
      <c r="J125" s="227" t="s">
        <v>303</v>
      </c>
    </row>
    <row r="126" spans="1:20" ht="18" customHeight="1" x14ac:dyDescent="0.3">
      <c r="A126" s="227" t="s">
        <v>163</v>
      </c>
      <c r="B126" s="94"/>
      <c r="C126" s="274">
        <f>$C$125*D126</f>
        <v>818.97600000000011</v>
      </c>
      <c r="D126" s="239">
        <f>IF(C15&gt;0.001,C15,D15)</f>
        <v>0.19</v>
      </c>
      <c r="E126" s="273">
        <f>$E$125*F126</f>
        <v>975.67700000000002</v>
      </c>
      <c r="F126" s="239">
        <f>IF(E15&gt;0.001,E15,F15)</f>
        <v>0.20499999999999999</v>
      </c>
      <c r="G126" s="273">
        <f>$G$125*H126</f>
        <v>1171.8900000000001</v>
      </c>
      <c r="H126" s="239">
        <f>IF(G15&gt;0.001,G15,H15)</f>
        <v>0.22500000000000001</v>
      </c>
      <c r="I126" s="273">
        <f>$I$125*J126</f>
        <v>1205.87481</v>
      </c>
      <c r="J126" s="239">
        <f>IF(I15&gt;0.001,I15,J15)</f>
        <v>0.22500000000000001</v>
      </c>
    </row>
    <row r="127" spans="1:20" ht="18" customHeight="1" x14ac:dyDescent="0.3">
      <c r="A127" s="227" t="s">
        <v>304</v>
      </c>
      <c r="B127" s="95"/>
      <c r="C127" s="273">
        <f>$C$125*D127</f>
        <v>-53.88000000000001</v>
      </c>
      <c r="D127" s="239">
        <f>-C46</f>
        <v>-1.2500000000000001E-2</v>
      </c>
      <c r="E127" s="273">
        <f>$E$125*F127</f>
        <v>-59.492500000000007</v>
      </c>
      <c r="F127" s="239">
        <f>-D46</f>
        <v>-1.2500000000000001E-2</v>
      </c>
      <c r="G127" s="273">
        <f>$G$125*H127</f>
        <v>-65.105000000000004</v>
      </c>
      <c r="H127" s="239">
        <f>-E46</f>
        <v>-1.2500000000000001E-2</v>
      </c>
      <c r="I127" s="273">
        <f>$I$125*J127</f>
        <v>-66.993044999999995</v>
      </c>
      <c r="J127" s="239">
        <f>-F46</f>
        <v>-1.2500000000000001E-2</v>
      </c>
    </row>
    <row r="128" spans="1:20" ht="18" customHeight="1" x14ac:dyDescent="0.3">
      <c r="A128" s="227" t="s">
        <v>305</v>
      </c>
      <c r="B128" s="96"/>
      <c r="C128" s="273">
        <f>$C$125*D128</f>
        <v>-30.172800000000006</v>
      </c>
      <c r="D128" s="239">
        <f>-C47</f>
        <v>-7.0000000000000001E-3</v>
      </c>
      <c r="E128" s="273">
        <f>$E$125*F128</f>
        <v>-33.315800000000003</v>
      </c>
      <c r="F128" s="239">
        <f>-D47</f>
        <v>-7.0000000000000001E-3</v>
      </c>
      <c r="G128" s="273">
        <f>$G$125*H128</f>
        <v>-36.458800000000004</v>
      </c>
      <c r="H128" s="239">
        <f>-E47</f>
        <v>-7.0000000000000001E-3</v>
      </c>
      <c r="I128" s="273">
        <f>$I$125*J128</f>
        <v>-37.516105199999998</v>
      </c>
      <c r="J128" s="239">
        <f>-F47</f>
        <v>-7.0000000000000001E-3</v>
      </c>
    </row>
    <row r="129" spans="1:10" ht="18" customHeight="1" x14ac:dyDescent="0.3">
      <c r="A129" s="227" t="s">
        <v>306</v>
      </c>
      <c r="B129" s="97"/>
      <c r="C129" s="273">
        <f>$C$125*D129</f>
        <v>56.035200000000003</v>
      </c>
      <c r="D129" s="239">
        <f>C48</f>
        <v>1.2999999999999999E-2</v>
      </c>
      <c r="E129" s="273">
        <f>$E$125*F129</f>
        <v>61.872200000000007</v>
      </c>
      <c r="F129" s="239">
        <f>D48</f>
        <v>1.2999999999999999E-2</v>
      </c>
      <c r="G129" s="273">
        <f>$G$125*H129</f>
        <v>67.70920000000001</v>
      </c>
      <c r="H129" s="239">
        <f>E48</f>
        <v>1.2999999999999999E-2</v>
      </c>
      <c r="I129" s="273">
        <f>$I$125*J129</f>
        <v>69.672766799999991</v>
      </c>
      <c r="J129" s="239">
        <f>F48</f>
        <v>1.2999999999999999E-2</v>
      </c>
    </row>
    <row r="130" spans="1:10" ht="18" customHeight="1" x14ac:dyDescent="0.3">
      <c r="A130" s="248" t="s">
        <v>307</v>
      </c>
      <c r="B130" s="98"/>
      <c r="C130" s="274">
        <f>SUM(C126:C129)</f>
        <v>790.9584000000001</v>
      </c>
      <c r="D130" s="275">
        <f t="shared" ref="D130:D135" si="8">C130/$C$125</f>
        <v>0.1835</v>
      </c>
      <c r="E130" s="276">
        <f>SUM(E126:E129)</f>
        <v>944.74090000000012</v>
      </c>
      <c r="F130" s="275">
        <f t="shared" ref="F130:F135" si="9">E130/$E$125</f>
        <v>0.19850000000000001</v>
      </c>
      <c r="G130" s="276">
        <f>SUM(G126:G129)</f>
        <v>1138.0354</v>
      </c>
      <c r="H130" s="275">
        <f t="shared" ref="H130:H135" si="10">G130/$G$125</f>
        <v>0.21849999999999997</v>
      </c>
      <c r="I130" s="276">
        <f>SUM(I126:I129)</f>
        <v>1171.0384266000001</v>
      </c>
      <c r="J130" s="275">
        <f t="shared" ref="J130:J135" si="11">I130/$I$125</f>
        <v>0.21850000000000003</v>
      </c>
    </row>
    <row r="131" spans="1:10" ht="18" customHeight="1" x14ac:dyDescent="0.3">
      <c r="A131" s="227" t="s">
        <v>308</v>
      </c>
      <c r="B131" s="95"/>
      <c r="C131" s="273">
        <f>D25/12*(C9+C10)</f>
        <v>510.2</v>
      </c>
      <c r="D131" s="239">
        <f t="shared" si="8"/>
        <v>0.11836488492947289</v>
      </c>
      <c r="E131" s="273">
        <f>F25</f>
        <v>537.20408991596628</v>
      </c>
      <c r="F131" s="239">
        <f t="shared" si="9"/>
        <v>0.11287222967516204</v>
      </c>
      <c r="G131" s="273">
        <f>H25</f>
        <v>579.70128583445376</v>
      </c>
      <c r="H131" s="239">
        <f t="shared" si="10"/>
        <v>0.11130122222457063</v>
      </c>
      <c r="I131" s="273">
        <f>J25</f>
        <v>639.11469546268245</v>
      </c>
      <c r="J131" s="239">
        <f t="shared" si="11"/>
        <v>0.11925019519986786</v>
      </c>
    </row>
    <row r="132" spans="1:10" ht="18" customHeight="1" x14ac:dyDescent="0.3">
      <c r="A132" s="227" t="s">
        <v>309</v>
      </c>
      <c r="B132" s="95"/>
      <c r="C132" s="273">
        <f>C79/12*(C9+C10)</f>
        <v>180</v>
      </c>
      <c r="D132" s="239">
        <f t="shared" si="8"/>
        <v>4.1759465478841865E-2</v>
      </c>
      <c r="E132" s="273">
        <f>D79</f>
        <v>184.83999999999997</v>
      </c>
      <c r="F132" s="239">
        <f t="shared" si="9"/>
        <v>3.8836828171618258E-2</v>
      </c>
      <c r="G132" s="273">
        <f>E79</f>
        <v>191.63455999999999</v>
      </c>
      <c r="H132" s="239">
        <f t="shared" si="10"/>
        <v>3.679336456493356E-2</v>
      </c>
      <c r="I132" s="273">
        <f>F79</f>
        <v>199.88058223999994</v>
      </c>
      <c r="J132" s="239">
        <f t="shared" si="11"/>
        <v>3.729502484922128E-2</v>
      </c>
    </row>
    <row r="133" spans="1:10" ht="18" customHeight="1" x14ac:dyDescent="0.3">
      <c r="A133" s="227" t="s">
        <v>310</v>
      </c>
      <c r="B133" s="95"/>
      <c r="C133" s="273">
        <f>+D119</f>
        <v>27.947142857142858</v>
      </c>
      <c r="D133" s="239">
        <f t="shared" si="8"/>
        <v>6.4836541520839957E-3</v>
      </c>
      <c r="E133" s="273">
        <f>+F119</f>
        <v>27.947142857142858</v>
      </c>
      <c r="F133" s="239">
        <f t="shared" si="9"/>
        <v>5.8719886660383355E-3</v>
      </c>
      <c r="G133" s="273">
        <f>+H119</f>
        <v>27.947142857142858</v>
      </c>
      <c r="H133" s="239">
        <f t="shared" si="10"/>
        <v>5.3657827465522726E-3</v>
      </c>
      <c r="I133" s="273">
        <f>+J119</f>
        <v>27.947142857142858</v>
      </c>
      <c r="J133" s="239">
        <f t="shared" si="11"/>
        <v>5.2145604922762614E-3</v>
      </c>
    </row>
    <row r="134" spans="1:10" ht="18" customHeight="1" x14ac:dyDescent="0.3">
      <c r="A134" s="227" t="s">
        <v>311</v>
      </c>
      <c r="B134" s="95"/>
      <c r="C134" s="273">
        <f>(+D31-E32)/12*(C9+C10)+F35</f>
        <v>92.34</v>
      </c>
      <c r="D134" s="239">
        <f t="shared" si="8"/>
        <v>2.1422605790645879E-2</v>
      </c>
      <c r="E134" s="273">
        <f>+F36+H30-I30</f>
        <v>95.017859999999999</v>
      </c>
      <c r="F134" s="239">
        <f t="shared" si="9"/>
        <v>1.9964251796444926E-2</v>
      </c>
      <c r="G134" s="273">
        <f>+F37+H31-I31</f>
        <v>97.773377939999989</v>
      </c>
      <c r="H134" s="239">
        <f t="shared" si="10"/>
        <v>1.8772248279702017E-2</v>
      </c>
      <c r="I134" s="273">
        <f>+F38+H32-I32</f>
        <v>100.60880590025998</v>
      </c>
      <c r="J134" s="239">
        <f t="shared" si="11"/>
        <v>1.8772248279702017E-2</v>
      </c>
    </row>
    <row r="135" spans="1:10" ht="18" customHeight="1" x14ac:dyDescent="0.3">
      <c r="A135" s="227" t="s">
        <v>251</v>
      </c>
      <c r="B135" s="95"/>
      <c r="C135" s="273">
        <f>CALCOLI!J213</f>
        <v>92.863428573505331</v>
      </c>
      <c r="D135" s="239">
        <f t="shared" si="8"/>
        <v>2.1544039665345519E-2</v>
      </c>
      <c r="E135" s="273">
        <f>CALCOLI!J218</f>
        <v>92.863428573505317</v>
      </c>
      <c r="F135" s="239">
        <f t="shared" si="9"/>
        <v>1.9511583093143107E-2</v>
      </c>
      <c r="G135" s="273">
        <f>CALCOLI!J223</f>
        <v>92.863428573505317</v>
      </c>
      <c r="H135" s="239">
        <f t="shared" si="10"/>
        <v>1.7829550067872152E-2</v>
      </c>
      <c r="I135" s="273">
        <f>CALCOLI!J228</f>
        <v>92.863428573505317</v>
      </c>
      <c r="J135" s="239">
        <f t="shared" si="11"/>
        <v>1.7327065177718322E-2</v>
      </c>
    </row>
    <row r="136" spans="1:10" ht="18" customHeight="1" x14ac:dyDescent="0.3">
      <c r="A136" s="227" t="s">
        <v>312</v>
      </c>
      <c r="B136" s="95"/>
      <c r="C136" s="273">
        <f>$C$125*D136</f>
        <v>43.104000000000006</v>
      </c>
      <c r="D136" s="239">
        <f>C45</f>
        <v>0.01</v>
      </c>
      <c r="E136" s="273">
        <f>$E$125*F136</f>
        <v>47.594000000000008</v>
      </c>
      <c r="F136" s="239">
        <f>D45</f>
        <v>0.01</v>
      </c>
      <c r="G136" s="273">
        <f>$G$125*H136</f>
        <v>52.084000000000003</v>
      </c>
      <c r="H136" s="239">
        <f>E45</f>
        <v>0.01</v>
      </c>
      <c r="I136" s="273">
        <f>$I$125*J136</f>
        <v>53.594435999999995</v>
      </c>
      <c r="J136" s="239">
        <f>F45</f>
        <v>0.01</v>
      </c>
    </row>
    <row r="137" spans="1:10" ht="18" customHeight="1" x14ac:dyDescent="0.3">
      <c r="A137" s="248" t="s">
        <v>313</v>
      </c>
      <c r="B137" s="99"/>
      <c r="C137" s="274">
        <f>SUM(C131:C136)</f>
        <v>946.45457143064823</v>
      </c>
      <c r="D137" s="275">
        <f>C137/$C$125</f>
        <v>0.21957465001639015</v>
      </c>
      <c r="E137" s="276">
        <f>SUM(E131:E136)</f>
        <v>985.4665213466144</v>
      </c>
      <c r="F137" s="275">
        <f>E137/$E$125</f>
        <v>0.20705688140240666</v>
      </c>
      <c r="G137" s="276">
        <f>SUM(G131:G136)</f>
        <v>1042.0037952051018</v>
      </c>
      <c r="H137" s="275">
        <f>G137/$G$125</f>
        <v>0.20006216788363063</v>
      </c>
      <c r="I137" s="276">
        <f>SUM(I131:I136)</f>
        <v>1114.0090910335907</v>
      </c>
      <c r="J137" s="275">
        <f>I137/$I$125</f>
        <v>0.20785909399878577</v>
      </c>
    </row>
    <row r="138" spans="1:10" ht="18" customHeight="1" x14ac:dyDescent="0.3">
      <c r="A138" s="248" t="s">
        <v>314</v>
      </c>
      <c r="B138" s="94"/>
      <c r="C138" s="274">
        <f>C130-C137</f>
        <v>-155.49617143064813</v>
      </c>
      <c r="D138" s="275">
        <f>C138/$C$125</f>
        <v>-3.6074650016390153E-2</v>
      </c>
      <c r="E138" s="276">
        <f>E130-E137</f>
        <v>-40.725621346614275</v>
      </c>
      <c r="F138" s="275">
        <f>E138/$E$125</f>
        <v>-8.5568814024066624E-3</v>
      </c>
      <c r="G138" s="276">
        <f>G130-G137</f>
        <v>96.031604794898158</v>
      </c>
      <c r="H138" s="275">
        <f>G138/$G$125</f>
        <v>1.8437832116369356E-2</v>
      </c>
      <c r="I138" s="276">
        <f>I130-I137</f>
        <v>57.029335566409372</v>
      </c>
      <c r="J138" s="275">
        <f>I138/$I$125</f>
        <v>1.0640906001214263E-2</v>
      </c>
    </row>
    <row r="139" spans="1:10" ht="18" customHeight="1" x14ac:dyDescent="0.3">
      <c r="A139" s="227" t="s">
        <v>315</v>
      </c>
      <c r="B139" s="95"/>
      <c r="C139" s="273">
        <f>+CALCOLI!G75</f>
        <v>0.34034612296632627</v>
      </c>
      <c r="D139" s="239">
        <f>C139/$C$125</f>
        <v>7.895928984927761E-5</v>
      </c>
      <c r="E139" s="273">
        <f>+CALCOLI!I75</f>
        <v>-4.4359745923037845</v>
      </c>
      <c r="F139" s="239">
        <f>E139/$E$125</f>
        <v>-9.3204492001172081E-4</v>
      </c>
      <c r="G139" s="273">
        <f>+CALCOLI!K75</f>
        <v>1.2580060629579655</v>
      </c>
      <c r="H139" s="239">
        <f>G139/$G$125</f>
        <v>2.4153407245180197E-4</v>
      </c>
      <c r="I139" s="273">
        <f>+CALCOLI!M75</f>
        <v>2.8821251890459503</v>
      </c>
      <c r="J139" s="239">
        <f>I139/$I$125</f>
        <v>5.3776574662450977E-4</v>
      </c>
    </row>
    <row r="140" spans="1:10" ht="18" customHeight="1" x14ac:dyDescent="0.3">
      <c r="A140" s="227" t="s">
        <v>316</v>
      </c>
      <c r="B140" s="100"/>
      <c r="C140" s="273">
        <f>-CALCOLI!N32</f>
        <v>-13.846722813000408</v>
      </c>
      <c r="D140" s="239">
        <f>C140/$C$125</f>
        <v>-3.2123985739143483E-3</v>
      </c>
      <c r="E140" s="273">
        <f>-CALCOLI!N33</f>
        <v>-19.189657265104881</v>
      </c>
      <c r="F140" s="239">
        <f>E140/$E$125</f>
        <v>-4.0319488307570027E-3</v>
      </c>
      <c r="G140" s="273">
        <f>-CALCOLI!N34</f>
        <v>-49.752151576885552</v>
      </c>
      <c r="H140" s="239">
        <f>G140/$G$125</f>
        <v>-9.5522908334393572E-3</v>
      </c>
      <c r="I140" s="273">
        <f>-CALCOLI!N35</f>
        <v>-41.640770673816647</v>
      </c>
      <c r="J140" s="239">
        <f>I140/$I$125</f>
        <v>-7.769607030441863E-3</v>
      </c>
    </row>
    <row r="141" spans="1:10" ht="18" customHeight="1" x14ac:dyDescent="0.3">
      <c r="A141" s="248" t="s">
        <v>317</v>
      </c>
      <c r="B141" s="101"/>
      <c r="C141" s="274">
        <f>SUM(C138:C140)</f>
        <v>-169.00254812068221</v>
      </c>
      <c r="D141" s="275">
        <f>C141/$C$125</f>
        <v>-3.9208089300455218E-2</v>
      </c>
      <c r="E141" s="276">
        <f>SUM(E138:E140)</f>
        <v>-64.351253204022939</v>
      </c>
      <c r="F141" s="275">
        <f>E141/$E$125</f>
        <v>-1.3520875153175385E-2</v>
      </c>
      <c r="G141" s="276">
        <f>SUM(G138:G140)</f>
        <v>47.537459280970566</v>
      </c>
      <c r="H141" s="275">
        <f>G141/$G$125</f>
        <v>9.1270753553817988E-3</v>
      </c>
      <c r="I141" s="276">
        <f>SUM(I138:I140)</f>
        <v>18.270690081638676</v>
      </c>
      <c r="J141" s="275">
        <f>I141/$I$125</f>
        <v>3.40906471739691E-3</v>
      </c>
    </row>
    <row r="142" spans="1:10" ht="18" customHeight="1" x14ac:dyDescent="0.25">
      <c r="A142" s="102"/>
      <c r="B142" s="103"/>
      <c r="C142" s="104"/>
      <c r="D142" s="103"/>
      <c r="E142" s="104"/>
      <c r="F142" s="103"/>
      <c r="G142" s="104"/>
      <c r="H142" s="103"/>
      <c r="I142" s="104"/>
      <c r="J142" s="103"/>
    </row>
    <row r="143" spans="1:10" ht="18" customHeight="1" x14ac:dyDescent="0.25">
      <c r="A143" s="308" t="s">
        <v>318</v>
      </c>
      <c r="B143" s="294"/>
      <c r="C143" s="327" t="s">
        <v>319</v>
      </c>
      <c r="D143" s="293"/>
      <c r="E143" s="293"/>
      <c r="F143" s="293"/>
      <c r="G143" s="293"/>
      <c r="H143" s="293"/>
      <c r="I143" s="293"/>
      <c r="J143" s="294"/>
    </row>
    <row r="144" spans="1:10" ht="18" customHeight="1" x14ac:dyDescent="0.3">
      <c r="A144" s="227" t="s">
        <v>320</v>
      </c>
      <c r="B144" s="105"/>
      <c r="C144" s="273">
        <f>+C124/((C9+C10)*30)*C53</f>
        <v>26.666666666666668</v>
      </c>
      <c r="D144" s="106"/>
      <c r="E144" s="273">
        <f>(+E124/365)*C53</f>
        <v>29.041095890410958</v>
      </c>
      <c r="F144" s="106"/>
      <c r="G144" s="273">
        <f>(+G124/365)*C53</f>
        <v>31.780821917808218</v>
      </c>
      <c r="H144" s="106"/>
      <c r="I144" s="273">
        <f>(+I124/365)*C53</f>
        <v>32.702465753424654</v>
      </c>
      <c r="J144" s="107"/>
    </row>
    <row r="145" spans="1:10" ht="18" customHeight="1" x14ac:dyDescent="0.3">
      <c r="A145" s="227" t="s">
        <v>321</v>
      </c>
      <c r="B145" s="95"/>
      <c r="C145" s="273">
        <f>C119</f>
        <v>292</v>
      </c>
      <c r="D145" s="108"/>
      <c r="E145" s="273">
        <f>+C145+E119</f>
        <v>292</v>
      </c>
      <c r="F145" s="108"/>
      <c r="G145" s="273">
        <f>+E145+G119</f>
        <v>292</v>
      </c>
      <c r="H145" s="108"/>
      <c r="I145" s="273">
        <f>+G145+I119</f>
        <v>292</v>
      </c>
      <c r="J145" s="109"/>
    </row>
    <row r="146" spans="1:10" ht="18" customHeight="1" x14ac:dyDescent="0.3">
      <c r="A146" s="227" t="s">
        <v>221</v>
      </c>
      <c r="B146" s="95"/>
      <c r="C146" s="273">
        <f>+CALCOLI!D47</f>
        <v>250</v>
      </c>
      <c r="D146" s="108"/>
      <c r="E146" s="273">
        <f>CALCOLI!E47</f>
        <v>257.25</v>
      </c>
      <c r="F146" s="108"/>
      <c r="G146" s="273">
        <f>CALCOLI!F47</f>
        <v>264.71024999999997</v>
      </c>
      <c r="H146" s="108"/>
      <c r="I146" s="273">
        <f>CALCOLI!G47</f>
        <v>272.38684724999996</v>
      </c>
      <c r="J146" s="109"/>
    </row>
    <row r="147" spans="1:10" ht="18" customHeight="1" x14ac:dyDescent="0.3">
      <c r="A147" s="227" t="s">
        <v>322</v>
      </c>
      <c r="B147" s="95"/>
      <c r="C147" s="273">
        <f>+CALCOLI!F55</f>
        <v>56.035200000000003</v>
      </c>
      <c r="D147" s="108"/>
      <c r="E147" s="273">
        <f>+CALCOLI!H55</f>
        <v>61.872200000000007</v>
      </c>
      <c r="F147" s="108"/>
      <c r="G147" s="273">
        <f>+CALCOLI!J55</f>
        <v>67.70920000000001</v>
      </c>
      <c r="H147" s="108"/>
      <c r="I147" s="273">
        <f>+CALCOLI!L55</f>
        <v>69.672766799999991</v>
      </c>
      <c r="J147" s="109"/>
    </row>
    <row r="148" spans="1:10" ht="18" customHeight="1" x14ac:dyDescent="0.3">
      <c r="A148" s="227" t="s">
        <v>323</v>
      </c>
      <c r="B148" s="95"/>
      <c r="C148" s="273">
        <f>+CALCOLI!D28</f>
        <v>65</v>
      </c>
      <c r="D148" s="108"/>
      <c r="E148" s="273">
        <f>+CALCOLI!E28</f>
        <v>14</v>
      </c>
      <c r="F148" s="108"/>
      <c r="G148" s="273">
        <f>+CALCOLI!F28</f>
        <v>0</v>
      </c>
      <c r="H148" s="108"/>
      <c r="I148" s="273">
        <f>+CALCOLI!G28</f>
        <v>0</v>
      </c>
      <c r="J148" s="109"/>
    </row>
    <row r="149" spans="1:10" ht="18" customHeight="1" x14ac:dyDescent="0.3">
      <c r="A149" s="227" t="s">
        <v>324</v>
      </c>
      <c r="B149" s="95"/>
      <c r="C149" s="273">
        <f>IF(CALCOLI!D16&gt;0,CALCOLI!D16,0)</f>
        <v>36.565858286171149</v>
      </c>
      <c r="D149" s="108"/>
      <c r="E149" s="273">
        <f>IF(CALCOLI!E16&gt;0,CALCOLI!E16,0)</f>
        <v>22.122478772342319</v>
      </c>
      <c r="F149" s="108"/>
      <c r="G149" s="273">
        <f>IF(CALCOLI!F16&gt;0,CALCOLI!F16,0)</f>
        <v>5.8211748053134897</v>
      </c>
      <c r="H149" s="108"/>
      <c r="I149" s="273">
        <f>IF(CALCOLI!G16&gt;0,CALCOLI!G16,0)</f>
        <v>0</v>
      </c>
      <c r="J149" s="109"/>
    </row>
    <row r="150" spans="1:10" ht="18" customHeight="1" x14ac:dyDescent="0.3">
      <c r="A150" s="248" t="s">
        <v>261</v>
      </c>
      <c r="B150" s="99"/>
      <c r="C150" s="274">
        <f>SUM(C144:C149)</f>
        <v>726.26772495283797</v>
      </c>
      <c r="D150" s="108"/>
      <c r="E150" s="276">
        <f>SUM(E144:E149)</f>
        <v>676.28577466275328</v>
      </c>
      <c r="F150" s="108"/>
      <c r="G150" s="276">
        <f>SUM(G144:G149)</f>
        <v>662.0214467231217</v>
      </c>
      <c r="H150" s="108"/>
      <c r="I150" s="276">
        <f>SUM(I144:I149)</f>
        <v>666.76207980342463</v>
      </c>
      <c r="J150" s="109"/>
    </row>
    <row r="151" spans="1:10" ht="18" customHeight="1" x14ac:dyDescent="0.3">
      <c r="A151" s="227" t="s">
        <v>325</v>
      </c>
      <c r="B151" s="95"/>
      <c r="C151" s="273">
        <f>(((C125-C126)/C9*12)*(1+CALCOLI!D48))/365*C54</f>
        <v>368.94307857534255</v>
      </c>
      <c r="D151" s="108"/>
      <c r="E151" s="273">
        <f>((E125-E126)*(1+CALCOLI!E48))/365*D54</f>
        <v>399.8306742739727</v>
      </c>
      <c r="F151" s="108"/>
      <c r="G151" s="273">
        <f>((G125-G126)*(1+CALCOLI!F48))/365*E54</f>
        <v>426.5429882191782</v>
      </c>
      <c r="H151" s="108"/>
      <c r="I151" s="273">
        <f>((I125-I126)*(1+CALCOLI!G48))/365*F54</f>
        <v>438.91273487753421</v>
      </c>
      <c r="J151" s="109"/>
    </row>
    <row r="152" spans="1:10" ht="18" customHeight="1" x14ac:dyDescent="0.3">
      <c r="A152" s="320" t="s">
        <v>326</v>
      </c>
      <c r="B152" s="294"/>
      <c r="C152" s="274">
        <f>+CALCOLI!D41+CALCOLI!D42</f>
        <v>63.623066666666666</v>
      </c>
      <c r="D152" s="108"/>
      <c r="E152" s="273">
        <f>+CALCOLI!E41+CALCOLI!E42</f>
        <v>66.912824159663856</v>
      </c>
      <c r="F152" s="108"/>
      <c r="G152" s="273">
        <f>+CALCOLI!F41+CALCOLI!F42</f>
        <v>71.656553819537805</v>
      </c>
      <c r="H152" s="108"/>
      <c r="I152" s="273">
        <f>+CALCOLI!G41+CALCOLI!G42</f>
        <v>76.595998304302015</v>
      </c>
      <c r="J152" s="109"/>
    </row>
    <row r="153" spans="1:10" ht="18" customHeight="1" x14ac:dyDescent="0.3">
      <c r="A153" s="227" t="s">
        <v>327</v>
      </c>
      <c r="B153" s="95"/>
      <c r="C153" s="273">
        <f>+CALCOLI!G142</f>
        <v>0</v>
      </c>
      <c r="D153" s="108"/>
      <c r="E153" s="273">
        <f>+CALCOLI!G147</f>
        <v>0</v>
      </c>
      <c r="F153" s="108"/>
      <c r="G153" s="273">
        <f>+CALCOLI!G152</f>
        <v>0</v>
      </c>
      <c r="H153" s="108"/>
      <c r="I153" s="273">
        <f>+CALCOLI!M142</f>
        <v>0</v>
      </c>
      <c r="J153" s="109"/>
    </row>
    <row r="154" spans="1:10" ht="18" customHeight="1" x14ac:dyDescent="0.3">
      <c r="A154" s="227" t="s">
        <v>328</v>
      </c>
      <c r="B154" s="95"/>
      <c r="C154" s="273">
        <f>+C133</f>
        <v>27.947142857142858</v>
      </c>
      <c r="D154" s="108"/>
      <c r="E154" s="273">
        <f>+C154+E133</f>
        <v>55.894285714285715</v>
      </c>
      <c r="F154" s="108"/>
      <c r="G154" s="273">
        <f>+E154+G133</f>
        <v>83.841428571428565</v>
      </c>
      <c r="H154" s="108"/>
      <c r="I154" s="273">
        <f>+G154+I133</f>
        <v>111.78857142857143</v>
      </c>
      <c r="J154" s="109"/>
    </row>
    <row r="155" spans="1:10" ht="18" customHeight="1" x14ac:dyDescent="0.3">
      <c r="A155" s="227" t="s">
        <v>329</v>
      </c>
      <c r="B155" s="95"/>
      <c r="C155" s="273">
        <f>+CALCOLI!D37</f>
        <v>26.21</v>
      </c>
      <c r="D155" s="108"/>
      <c r="E155" s="273">
        <f>+C155+CALCOLI!E37</f>
        <v>53.993975994397758</v>
      </c>
      <c r="F155" s="108"/>
      <c r="G155" s="273">
        <f>+E155+CALCOLI!F37</f>
        <v>84.378239113361346</v>
      </c>
      <c r="H155" s="108"/>
      <c r="I155" s="273">
        <f>+G155+CALCOLI!G37</f>
        <v>115.75288194569546</v>
      </c>
      <c r="J155" s="109"/>
    </row>
    <row r="156" spans="1:10" ht="18" customHeight="1" x14ac:dyDescent="0.3">
      <c r="A156" s="227" t="s">
        <v>330</v>
      </c>
      <c r="B156" s="95"/>
      <c r="C156" s="274">
        <f>C100</f>
        <v>250</v>
      </c>
      <c r="D156" s="108"/>
      <c r="E156" s="273">
        <f>+C156</f>
        <v>250</v>
      </c>
      <c r="F156" s="108"/>
      <c r="G156" s="273">
        <f>+E156</f>
        <v>250</v>
      </c>
      <c r="H156" s="108"/>
      <c r="I156" s="273">
        <f>+G156</f>
        <v>250</v>
      </c>
      <c r="J156" s="109"/>
    </row>
    <row r="157" spans="1:10" ht="18" customHeight="1" x14ac:dyDescent="0.3">
      <c r="A157" s="227" t="s">
        <v>331</v>
      </c>
      <c r="B157" s="95"/>
      <c r="C157" s="274">
        <f>+C141</f>
        <v>-169.00254812068221</v>
      </c>
      <c r="D157" s="108"/>
      <c r="E157" s="273">
        <f>+E141</f>
        <v>-64.351253204022939</v>
      </c>
      <c r="F157" s="108"/>
      <c r="G157" s="273">
        <f>+G141</f>
        <v>47.537459280970566</v>
      </c>
      <c r="H157" s="108"/>
      <c r="I157" s="273">
        <f>+I141</f>
        <v>18.270690081638676</v>
      </c>
      <c r="J157" s="109"/>
    </row>
    <row r="158" spans="1:10" ht="18" customHeight="1" x14ac:dyDescent="0.3">
      <c r="A158" s="320" t="s">
        <v>332</v>
      </c>
      <c r="B158" s="294"/>
      <c r="C158" s="110"/>
      <c r="D158" s="108"/>
      <c r="E158" s="273">
        <f>+CALCOLI!J40</f>
        <v>-169.00254812068221</v>
      </c>
      <c r="F158" s="108"/>
      <c r="G158" s="273">
        <f>+CALCOLI!J41+E158</f>
        <v>-233.35380132470516</v>
      </c>
      <c r="H158" s="108"/>
      <c r="I158" s="273">
        <f>+CALCOLI!J42+G158</f>
        <v>-185.81634204373461</v>
      </c>
      <c r="J158" s="109"/>
    </row>
    <row r="159" spans="1:10" ht="18" customHeight="1" x14ac:dyDescent="0.3">
      <c r="A159" s="248" t="s">
        <v>333</v>
      </c>
      <c r="B159" s="99"/>
      <c r="C159" s="274">
        <f>SUM(C151:C158)</f>
        <v>567.72073997846996</v>
      </c>
      <c r="D159" s="108"/>
      <c r="E159" s="276">
        <f>SUM(E151:E158)</f>
        <v>593.27795881761494</v>
      </c>
      <c r="F159" s="108"/>
      <c r="G159" s="276">
        <f>SUM(G151:G158)</f>
        <v>730.60286767977129</v>
      </c>
      <c r="H159" s="108"/>
      <c r="I159" s="276">
        <f>SUM(I151:I158)</f>
        <v>825.50453459400717</v>
      </c>
      <c r="J159" s="109"/>
    </row>
    <row r="160" spans="1:10" ht="18" customHeight="1" x14ac:dyDescent="0.3">
      <c r="A160" s="332" t="s">
        <v>334</v>
      </c>
      <c r="B160" s="294"/>
      <c r="C160" s="276">
        <f>-C150+C159</f>
        <v>-158.546984974368</v>
      </c>
      <c r="D160" s="111"/>
      <c r="E160" s="276">
        <f>-E150+E159</f>
        <v>-83.007815845138339</v>
      </c>
      <c r="F160" s="111"/>
      <c r="G160" s="276">
        <f>-G150+G159</f>
        <v>68.581420956649595</v>
      </c>
      <c r="H160" s="111"/>
      <c r="I160" s="276">
        <f>-I150+I159</f>
        <v>158.74245479058254</v>
      </c>
      <c r="J160" s="112"/>
    </row>
    <row r="161" spans="1:10" ht="18" customHeight="1" x14ac:dyDescent="0.25">
      <c r="A161" s="113"/>
      <c r="B161" s="113"/>
      <c r="C161" s="114"/>
      <c r="D161" s="113"/>
      <c r="E161" s="114"/>
      <c r="F161" s="113"/>
      <c r="G161" s="114"/>
      <c r="H161" s="113"/>
      <c r="I161" s="114"/>
      <c r="J161" s="115"/>
    </row>
    <row r="162" spans="1:10" ht="18" customHeight="1" x14ac:dyDescent="0.25">
      <c r="A162" s="308" t="s">
        <v>335</v>
      </c>
      <c r="B162" s="293"/>
      <c r="C162" s="293"/>
      <c r="D162" s="294"/>
      <c r="E162" s="308" t="s">
        <v>336</v>
      </c>
      <c r="F162" s="293"/>
      <c r="G162" s="294"/>
      <c r="H162" s="308" t="s">
        <v>337</v>
      </c>
      <c r="I162" s="293"/>
      <c r="J162" s="294"/>
    </row>
    <row r="163" spans="1:10" ht="18" customHeight="1" x14ac:dyDescent="0.25">
      <c r="A163" s="222" t="s">
        <v>338</v>
      </c>
      <c r="B163" s="116"/>
      <c r="C163" s="222" t="s">
        <v>339</v>
      </c>
      <c r="D163" s="222" t="s">
        <v>138</v>
      </c>
      <c r="E163" s="222" t="s">
        <v>340</v>
      </c>
      <c r="F163" s="117"/>
      <c r="G163" s="222">
        <f>C84</f>
        <v>0</v>
      </c>
      <c r="H163" s="222" t="s">
        <v>341</v>
      </c>
      <c r="I163" s="222" t="s">
        <v>342</v>
      </c>
      <c r="J163" s="222" t="s">
        <v>343</v>
      </c>
    </row>
    <row r="164" spans="1:10" ht="18" customHeight="1" x14ac:dyDescent="0.25">
      <c r="A164" s="237" t="str">
        <f>A3</f>
        <v>SALA</v>
      </c>
      <c r="C164" s="277">
        <f>D3</f>
        <v>0.55000000000000004</v>
      </c>
      <c r="D164" s="277">
        <f>E3</f>
        <v>0.22500000000000001</v>
      </c>
      <c r="E164" s="237" t="s">
        <v>344</v>
      </c>
      <c r="F164" s="118"/>
      <c r="G164" s="237">
        <f>+G167-G163-G165</f>
        <v>850</v>
      </c>
      <c r="H164" s="237" t="s">
        <v>345</v>
      </c>
      <c r="I164" s="278">
        <f>IF(C25&gt;0,C25,"")</f>
        <v>21</v>
      </c>
      <c r="J164" s="278">
        <f>IF(C25&gt;0,D18,"")</f>
        <v>228.57142857142858</v>
      </c>
    </row>
    <row r="165" spans="1:10" ht="18" customHeight="1" x14ac:dyDescent="0.25">
      <c r="A165" s="119"/>
      <c r="C165" s="120"/>
      <c r="D165" s="121"/>
      <c r="E165" s="231" t="s">
        <v>258</v>
      </c>
      <c r="F165" s="118"/>
      <c r="G165" s="231">
        <f>+C87</f>
        <v>0</v>
      </c>
      <c r="H165" s="231" t="s">
        <v>346</v>
      </c>
      <c r="I165" s="279">
        <f>IF(G25&gt;0,G25,"")</f>
        <v>23.015493260234226</v>
      </c>
      <c r="J165" s="279">
        <f>IF(G25&gt;0,H18,"")</f>
        <v>252.00415799999996</v>
      </c>
    </row>
    <row r="166" spans="1:10" ht="18" customHeight="1" x14ac:dyDescent="0.25">
      <c r="A166" s="119"/>
      <c r="C166" s="120"/>
      <c r="D166" s="121"/>
      <c r="E166" s="122"/>
      <c r="F166" s="123"/>
      <c r="G166" s="124"/>
      <c r="H166" s="237" t="s">
        <v>254</v>
      </c>
      <c r="I166" s="237" t="s">
        <v>347</v>
      </c>
      <c r="J166" s="237" t="s">
        <v>348</v>
      </c>
    </row>
    <row r="167" spans="1:10" ht="18" customHeight="1" x14ac:dyDescent="0.25">
      <c r="A167" s="231" t="str">
        <f>A4</f>
        <v>S.&amp; L.</v>
      </c>
      <c r="C167" s="280">
        <f t="shared" ref="C167:D170" si="12">D4</f>
        <v>0.22</v>
      </c>
      <c r="D167" s="280">
        <f t="shared" si="12"/>
        <v>0.22500000000000001</v>
      </c>
      <c r="E167" s="231" t="s">
        <v>243</v>
      </c>
      <c r="F167" s="117"/>
      <c r="G167" s="249">
        <f>+C90</f>
        <v>850</v>
      </c>
      <c r="H167" s="231" t="s">
        <v>349</v>
      </c>
      <c r="I167" s="279">
        <f>F28</f>
        <v>1500</v>
      </c>
      <c r="J167" s="279">
        <f>IF(F28&gt;0,C124/F28,"")</f>
        <v>3.2</v>
      </c>
    </row>
    <row r="168" spans="1:10" ht="18" customHeight="1" x14ac:dyDescent="0.25">
      <c r="A168" s="237" t="str">
        <f>A5</f>
        <v>PESCE</v>
      </c>
      <c r="C168" s="277">
        <f t="shared" si="12"/>
        <v>0.03</v>
      </c>
      <c r="D168" s="277">
        <f t="shared" si="12"/>
        <v>0.22500000000000001</v>
      </c>
      <c r="E168" s="237" t="s">
        <v>350</v>
      </c>
      <c r="F168" s="118"/>
      <c r="G168" s="249">
        <f>+D90-F96</f>
        <v>558</v>
      </c>
      <c r="H168" s="237" t="s">
        <v>351</v>
      </c>
      <c r="I168" s="278">
        <f>F29</f>
        <v>1000</v>
      </c>
      <c r="J168" s="278">
        <f>IF(F29&gt;0,C124/F29,"")</f>
        <v>4.8</v>
      </c>
    </row>
    <row r="169" spans="1:10" ht="18" customHeight="1" x14ac:dyDescent="0.25">
      <c r="A169" s="231" t="str">
        <f>A6</f>
        <v>CARNI</v>
      </c>
      <c r="C169" s="280">
        <f t="shared" si="12"/>
        <v>0.12</v>
      </c>
      <c r="D169" s="280">
        <f t="shared" si="12"/>
        <v>0.22500000000000001</v>
      </c>
      <c r="E169" s="231" t="s">
        <v>352</v>
      </c>
      <c r="F169" s="118"/>
      <c r="G169" s="231">
        <f>+B97+B98</f>
        <v>0</v>
      </c>
      <c r="H169" s="336" t="s">
        <v>353</v>
      </c>
      <c r="I169" s="293"/>
      <c r="J169" s="294"/>
    </row>
    <row r="170" spans="1:10" ht="18" customHeight="1" x14ac:dyDescent="0.25">
      <c r="A170" s="237" t="str">
        <f>A7</f>
        <v>ORTO</v>
      </c>
      <c r="B170" s="123"/>
      <c r="C170" s="277">
        <f t="shared" si="12"/>
        <v>0.08</v>
      </c>
      <c r="D170" s="277">
        <f t="shared" si="12"/>
        <v>0.22500000000000001</v>
      </c>
      <c r="E170" s="237" t="s">
        <v>354</v>
      </c>
      <c r="F170" s="123"/>
      <c r="G170" s="237">
        <f>+C100</f>
        <v>250</v>
      </c>
      <c r="H170" s="237" t="s">
        <v>355</v>
      </c>
      <c r="I170" s="125"/>
      <c r="J170" s="281" t="str">
        <f>IF(B30&gt;1,B30,"")</f>
        <v/>
      </c>
    </row>
    <row r="171" spans="1:10" ht="18" customHeight="1" x14ac:dyDescent="0.25">
      <c r="A171" s="248" t="s">
        <v>356</v>
      </c>
      <c r="B171" s="20"/>
      <c r="C171" s="282">
        <f>SUM(C164:C170)</f>
        <v>1</v>
      </c>
      <c r="D171" s="275">
        <f>E8</f>
        <v>0.22500000000000001</v>
      </c>
      <c r="E171" s="248" t="s">
        <v>357</v>
      </c>
      <c r="F171" s="126"/>
      <c r="G171" s="248">
        <f>G167-G168</f>
        <v>292</v>
      </c>
      <c r="H171" s="248" t="s">
        <v>358</v>
      </c>
      <c r="I171" s="20"/>
      <c r="J171" s="276">
        <f>IF(B31&gt;1,B31,"")</f>
        <v>5.13</v>
      </c>
    </row>
    <row r="172" spans="1:10" ht="18" customHeight="1" x14ac:dyDescent="0.25"/>
    <row r="173" spans="1:10" ht="18" customHeight="1" x14ac:dyDescent="0.25"/>
    <row r="174" spans="1:10" ht="18" customHeight="1" x14ac:dyDescent="0.25">
      <c r="A174" s="67"/>
    </row>
    <row r="175" spans="1:10" ht="13.5" x14ac:dyDescent="0.25"/>
    <row r="176" spans="1:10" ht="13.5" x14ac:dyDescent="0.25">
      <c r="A176" s="283"/>
      <c r="B176" s="284"/>
      <c r="C176" s="285"/>
      <c r="D176" s="286"/>
      <c r="E176" s="286"/>
      <c r="F176" s="286"/>
    </row>
    <row r="178" spans="1:6" ht="13.5" x14ac:dyDescent="0.25">
      <c r="A178" s="287" t="s">
        <v>359</v>
      </c>
      <c r="B178" s="288" t="s">
        <v>360</v>
      </c>
      <c r="C178" s="289" t="s">
        <v>361</v>
      </c>
      <c r="D178" s="290" t="s">
        <v>362</v>
      </c>
      <c r="E178" s="291" t="s">
        <v>363</v>
      </c>
      <c r="F178" s="286"/>
    </row>
  </sheetData>
  <mergeCells count="59">
    <mergeCell ref="H169:J169"/>
    <mergeCell ref="D41:F41"/>
    <mergeCell ref="AP1:AR1"/>
    <mergeCell ref="G4:J4"/>
    <mergeCell ref="G11:H11"/>
    <mergeCell ref="I11:J11"/>
    <mergeCell ref="G1:J1"/>
    <mergeCell ref="E123:F123"/>
    <mergeCell ref="J27:J28"/>
    <mergeCell ref="G9:J9"/>
    <mergeCell ref="AP2:AR2"/>
    <mergeCell ref="C121:J121"/>
    <mergeCell ref="C143:J143"/>
    <mergeCell ref="D9:F9"/>
    <mergeCell ref="G2:J2"/>
    <mergeCell ref="E162:G162"/>
    <mergeCell ref="A27:B27"/>
    <mergeCell ref="A162:D162"/>
    <mergeCell ref="A160:B160"/>
    <mergeCell ref="A110:B111"/>
    <mergeCell ref="E110:F110"/>
    <mergeCell ref="G110:H110"/>
    <mergeCell ref="H162:J162"/>
    <mergeCell ref="G3:J3"/>
    <mergeCell ref="A152:B152"/>
    <mergeCell ref="A143:B143"/>
    <mergeCell ref="A41:C41"/>
    <mergeCell ref="A123:B123"/>
    <mergeCell ref="B1:C1"/>
    <mergeCell ref="A158:B158"/>
    <mergeCell ref="A34:B35"/>
    <mergeCell ref="AP7:AR7"/>
    <mergeCell ref="A2:B2"/>
    <mergeCell ref="H27:H28"/>
    <mergeCell ref="G8:J8"/>
    <mergeCell ref="C11:D11"/>
    <mergeCell ref="G122:J122"/>
    <mergeCell ref="E11:F11"/>
    <mergeCell ref="C123:D123"/>
    <mergeCell ref="G7:J7"/>
    <mergeCell ref="G123:H123"/>
    <mergeCell ref="A17:B17"/>
    <mergeCell ref="C110:D110"/>
    <mergeCell ref="I123:J123"/>
    <mergeCell ref="AP4:AR4"/>
    <mergeCell ref="I110:J110"/>
    <mergeCell ref="A122:E122"/>
    <mergeCell ref="G6:J6"/>
    <mergeCell ref="A100:B100"/>
    <mergeCell ref="A29:B29"/>
    <mergeCell ref="G27:G28"/>
    <mergeCell ref="C34:C35"/>
    <mergeCell ref="A28:B28"/>
    <mergeCell ref="AP5:AR5"/>
    <mergeCell ref="AP8:AR8"/>
    <mergeCell ref="D34:D35"/>
    <mergeCell ref="G5:J5"/>
    <mergeCell ref="I27:I28"/>
    <mergeCell ref="A61:B61"/>
  </mergeCells>
  <printOptions horizontalCentered="1"/>
  <pageMargins left="0.2" right="0.2" top="0.3" bottom="0.3" header="0.511811023622047" footer="0.51180555555555596"/>
  <pageSetup paperSize="9" scale="73" orientation="landscape" horizontalDpi="300" verticalDpi="300"/>
  <headerFooter>
    <oddFooter>&amp;C&amp;P</oddFooter>
  </headerFooter>
  <rowBreaks count="2" manualBreakCount="2">
    <brk id="59" max="16383" man="1"/>
    <brk id="120" max="16383" man="1"/>
  </row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W243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9.625" defaultRowHeight="15" customHeight="1" x14ac:dyDescent="0.25"/>
  <cols>
    <col min="1" max="1" width="10" style="4" customWidth="1"/>
    <col min="2" max="2" width="18" style="4" customWidth="1"/>
    <col min="3" max="14" width="18" style="1" customWidth="1"/>
    <col min="15" max="257" width="7" style="4" customWidth="1"/>
  </cols>
  <sheetData>
    <row r="1" spans="2:14" ht="27.95" customHeight="1" x14ac:dyDescent="0.25">
      <c r="E1" s="5"/>
      <c r="G1" s="5"/>
      <c r="H1" s="5"/>
    </row>
    <row r="2" spans="2:14" ht="21.95" customHeight="1" x14ac:dyDescent="0.25">
      <c r="B2" s="181" t="s">
        <v>364</v>
      </c>
      <c r="C2" s="127"/>
      <c r="D2" s="181" t="s">
        <v>203</v>
      </c>
      <c r="E2" s="181" t="s">
        <v>204</v>
      </c>
      <c r="F2" s="181" t="s">
        <v>205</v>
      </c>
      <c r="G2" s="181" t="s">
        <v>365</v>
      </c>
      <c r="J2" s="343" t="s">
        <v>366</v>
      </c>
      <c r="K2" s="293"/>
      <c r="L2" s="293"/>
      <c r="M2" s="293"/>
      <c r="N2" s="294"/>
    </row>
    <row r="3" spans="2:14" ht="21.95" customHeight="1" x14ac:dyDescent="0.25">
      <c r="B3" s="181" t="s">
        <v>367</v>
      </c>
      <c r="C3" s="118"/>
      <c r="D3" s="188">
        <v>0</v>
      </c>
      <c r="E3" s="188">
        <f>IF(D16&gt;0,+D16,0)</f>
        <v>36.565858286171149</v>
      </c>
      <c r="F3" s="188">
        <f>IF(E16&gt;0,+E16,0)</f>
        <v>22.122478772342319</v>
      </c>
      <c r="G3" s="188">
        <f>IF(F16&gt;0,+F16,0)</f>
        <v>5.8211748053134897</v>
      </c>
      <c r="H3" s="128"/>
      <c r="J3" s="129"/>
      <c r="K3" s="189">
        <v>1</v>
      </c>
      <c r="L3" s="189">
        <v>2</v>
      </c>
      <c r="M3" s="189">
        <v>3</v>
      </c>
      <c r="N3" s="189">
        <v>4</v>
      </c>
    </row>
    <row r="4" spans="2:14" ht="21.95" customHeight="1" x14ac:dyDescent="0.25">
      <c r="B4" s="181" t="s">
        <v>368</v>
      </c>
      <c r="C4" s="118"/>
      <c r="D4" s="188">
        <f>IF(APRI!C119&gt;0,(APRI!C112*APRI!$B$84+APRI!C113*APRI!$B$85+APRI!C114*APRI!$B$86+APRI!C115*APRI!$B$87+APRI!C118*APRI!$B$83),0)</f>
        <v>64.240000000000009</v>
      </c>
      <c r="E4" s="188">
        <f>IF(APRI!E119&gt;0,(APRI!E112*APRI!$B$84+APRI!E113*APRI!$B$85+APRI!E114*APRI!$B$86+APRI!E115*APRI!$B$87+APRI!E118*APRI!$B$83),0)</f>
        <v>0</v>
      </c>
      <c r="F4" s="188">
        <f>IF(APRI!G119&gt;0,(APRI!G112*APRI!$B$84+APRI!G113*APRI!$B$85+APRI!G114*APRI!$B$86+APRI!G115*APRI!$B$87+APRI!G118*APRI!$B$83),0)</f>
        <v>0</v>
      </c>
      <c r="G4" s="188">
        <f>IF(APRI!I119&gt;0,(APRI!I112*APRI!$B$84+APRI!I113*APRI!$B$85+APRI!I114*APRI!$B$86+APRI!I115*APRI!$B$87+APRI!I118*APRI!$B$83),0)</f>
        <v>0</v>
      </c>
      <c r="H4" s="130"/>
      <c r="J4" s="181" t="s">
        <v>369</v>
      </c>
      <c r="K4" s="181">
        <f>+APRI!B38/12*APRI!C9</f>
        <v>0</v>
      </c>
      <c r="L4" s="181">
        <f>+APRI!B38*(1+APRI!F13)</f>
        <v>0</v>
      </c>
      <c r="M4" s="181">
        <f>+L4*(1+APRI!H13)</f>
        <v>0</v>
      </c>
      <c r="N4" s="181">
        <f>+M4*(1+APRI!J13)</f>
        <v>0</v>
      </c>
    </row>
    <row r="5" spans="2:14" ht="18" customHeight="1" x14ac:dyDescent="0.25">
      <c r="B5" s="185" t="s">
        <v>370</v>
      </c>
      <c r="C5" s="25"/>
      <c r="D5" s="190">
        <f>IF(APRI!C59*APRI!D59&gt;1,APRI!C59*APRI!D59,0)</f>
        <v>25.5</v>
      </c>
      <c r="E5" s="131"/>
      <c r="F5" s="131"/>
      <c r="G5" s="132"/>
      <c r="H5" s="130"/>
      <c r="J5" s="190" t="s">
        <v>162</v>
      </c>
      <c r="K5" s="186">
        <f>IF(APRI!$C$36&gt;APRI!$D$36,APRI!C124,0)</f>
        <v>0</v>
      </c>
      <c r="L5" s="186">
        <f>IF(APRI!$C$36&gt;APRI!$D$36,APRI!E124,0)</f>
        <v>0</v>
      </c>
      <c r="M5" s="186">
        <f>IF(APRI!$C$36&gt;APRI!$D$36,APRI!G124,0)</f>
        <v>0</v>
      </c>
      <c r="N5" s="186">
        <f>IF(APRI!$C$36&gt;APRI!$D$36,APRI!I124,0)</f>
        <v>0</v>
      </c>
    </row>
    <row r="6" spans="2:14" ht="18" customHeight="1" x14ac:dyDescent="0.25">
      <c r="B6" s="185" t="s">
        <v>371</v>
      </c>
      <c r="C6" s="118"/>
      <c r="D6" s="190">
        <f>SUM(D3:D5)</f>
        <v>89.740000000000009</v>
      </c>
      <c r="E6" s="190">
        <f>SUM(E3:E5)</f>
        <v>36.565858286171149</v>
      </c>
      <c r="F6" s="190">
        <f>SUM(F3:F5)</f>
        <v>22.122478772342319</v>
      </c>
      <c r="G6" s="190">
        <f>SUM(G3:G5)</f>
        <v>5.8211748053134897</v>
      </c>
      <c r="H6" s="130"/>
      <c r="J6" s="190" t="s">
        <v>372</v>
      </c>
      <c r="K6" s="186">
        <f>IF(AND(K5&gt;0,APRI!$B$36&gt;0),+APRI!$B$36/12*APRI!C9,IF(AND(K5&gt;0,APRI!$B$36=0),K5,0))</f>
        <v>0</v>
      </c>
      <c r="L6" s="186">
        <f>IF(AND(L5&gt;0,APRI!$B$36&gt;0),+APRI!$B$36*(1+APRI!F13),IF(AND(L5&gt;0,APRI!$B$36=0),L5,0))</f>
        <v>0</v>
      </c>
      <c r="M6" s="186">
        <f>IF(AND(M5&gt;0,APRI!$B$36&gt;0),+L6*(1+APRI!H13),IF(AND(M5&gt;0,APRI!$B$36=0),M5,0))</f>
        <v>0</v>
      </c>
      <c r="N6" s="186">
        <f>IF(AND(N5&gt;0,APRI!$B$36&gt;0),+M6*(1+APRI!J13),IF(AND(N5&gt;0,APRI!$B$36=0),N5,0))</f>
        <v>0</v>
      </c>
    </row>
    <row r="7" spans="2:14" ht="18" customHeight="1" x14ac:dyDescent="0.25">
      <c r="B7" s="185" t="s">
        <v>309</v>
      </c>
      <c r="C7" s="118"/>
      <c r="D7" s="190">
        <f>APRI!C78*APRI!$B$83</f>
        <v>33</v>
      </c>
      <c r="E7" s="190">
        <f>APRI!D78*APRI!$B$83</f>
        <v>33.873399999999997</v>
      </c>
      <c r="F7" s="190">
        <f>APRI!E78*APRI!$B$83</f>
        <v>35.171252599999995</v>
      </c>
      <c r="G7" s="190">
        <f>APRI!F78*APRI!$B$83</f>
        <v>36.782715325399991</v>
      </c>
      <c r="H7" s="130"/>
      <c r="J7" s="185" t="s">
        <v>373</v>
      </c>
      <c r="K7" s="187">
        <f>IF(APRI!C36&gt;APRI!D36,APRI!C36,0)</f>
        <v>0</v>
      </c>
      <c r="L7" s="187">
        <f>+K7</f>
        <v>0</v>
      </c>
      <c r="M7" s="187">
        <f>+L7</f>
        <v>0</v>
      </c>
      <c r="N7" s="187">
        <f>+M7</f>
        <v>0</v>
      </c>
    </row>
    <row r="8" spans="2:14" ht="18" customHeight="1" x14ac:dyDescent="0.25">
      <c r="B8" s="185" t="s">
        <v>374</v>
      </c>
      <c r="C8" s="118"/>
      <c r="D8" s="190">
        <f>-APRI!C127*CALCOLI!$D$48</f>
        <v>5.4957600000000006</v>
      </c>
      <c r="E8" s="190">
        <f>-APRI!E127*CALCOLI!$D$48</f>
        <v>6.0682350000000005</v>
      </c>
      <c r="F8" s="190">
        <f>-APRI!G127*CALCOLI!$D$48</f>
        <v>6.6407100000000003</v>
      </c>
      <c r="G8" s="190">
        <f>-APRI!I127*CALCOLI!$D$48</f>
        <v>6.8332905899999989</v>
      </c>
      <c r="H8" s="130"/>
      <c r="J8" s="185" t="s">
        <v>375</v>
      </c>
      <c r="K8" s="186">
        <f>+K6*K7</f>
        <v>0</v>
      </c>
      <c r="L8" s="186">
        <f>+L6*L7</f>
        <v>0</v>
      </c>
      <c r="M8" s="186">
        <f>+M6*M7</f>
        <v>0</v>
      </c>
      <c r="N8" s="186">
        <f>+N6*N7</f>
        <v>0</v>
      </c>
    </row>
    <row r="9" spans="2:14" ht="18" customHeight="1" x14ac:dyDescent="0.25">
      <c r="B9" s="185" t="s">
        <v>376</v>
      </c>
      <c r="C9" s="118"/>
      <c r="D9" s="190">
        <f>-APRI!C128*APRI!$B$83</f>
        <v>6.6380160000000012</v>
      </c>
      <c r="E9" s="190">
        <f>-APRI!E128*APRI!$B$83</f>
        <v>7.3294760000000005</v>
      </c>
      <c r="F9" s="190">
        <f>-APRI!G128*APRI!$B$83</f>
        <v>8.0209360000000007</v>
      </c>
      <c r="G9" s="190">
        <f>-APRI!I128*APRI!$B$83</f>
        <v>8.253543144</v>
      </c>
      <c r="H9" s="130"/>
      <c r="J9" s="190" t="s">
        <v>377</v>
      </c>
      <c r="K9" s="185">
        <f>IF(K5&gt;K6,+K5-K6,0)</f>
        <v>0</v>
      </c>
      <c r="L9" s="185">
        <f>IF(L5&gt;L6,+L5-L6,0)</f>
        <v>0</v>
      </c>
      <c r="M9" s="185">
        <f>IF(M5&gt;M6,+M5-M6,0)</f>
        <v>0</v>
      </c>
      <c r="N9" s="185">
        <f>IF(N5&gt;N6,+N5-N6,0)</f>
        <v>0</v>
      </c>
    </row>
    <row r="10" spans="2:14" ht="18" customHeight="1" x14ac:dyDescent="0.25">
      <c r="B10" s="185" t="s">
        <v>378</v>
      </c>
      <c r="C10" s="118"/>
      <c r="D10" s="190">
        <f>(APRI!C135+APRI!C134)*APRI!$B$83</f>
        <v>40.744754286171172</v>
      </c>
      <c r="E10" s="190">
        <f>(APRI!E135+APRI!E134)*APRI!$B$83</f>
        <v>41.333883486171167</v>
      </c>
      <c r="F10" s="190">
        <f>(+APRI!G134+APRI!G135)*APRI!$B$83</f>
        <v>41.940097432971164</v>
      </c>
      <c r="G10" s="190">
        <f>(APRI!I135+APRI!I134)*APRI!$B$83</f>
        <v>42.563891584228365</v>
      </c>
      <c r="J10" s="190" t="s">
        <v>379</v>
      </c>
      <c r="K10" s="187">
        <f>IF(APRI!C37&gt;APRI!D37,APRI!C37,0)</f>
        <v>0</v>
      </c>
      <c r="L10" s="187">
        <f>+K10</f>
        <v>0</v>
      </c>
      <c r="M10" s="187">
        <f>+L10</f>
        <v>0</v>
      </c>
      <c r="N10" s="187">
        <f>+M10</f>
        <v>0</v>
      </c>
    </row>
    <row r="11" spans="2:14" ht="18" customHeight="1" x14ac:dyDescent="0.25">
      <c r="B11" s="185" t="s">
        <v>312</v>
      </c>
      <c r="C11" s="25"/>
      <c r="D11" s="190">
        <f>APRI!C136*APRI!$B$83</f>
        <v>9.4828800000000015</v>
      </c>
      <c r="E11" s="190">
        <f>APRI!E136*APRI!$B$83</f>
        <v>10.470680000000002</v>
      </c>
      <c r="F11" s="190">
        <f>APRI!G136*APRI!$B$83</f>
        <v>11.458480000000002</v>
      </c>
      <c r="G11" s="190">
        <f>APRI!I136*APRI!$B$83</f>
        <v>11.79077592</v>
      </c>
      <c r="H11" s="130"/>
      <c r="J11" s="185" t="s">
        <v>380</v>
      </c>
      <c r="K11" s="186">
        <f>+K9*K10</f>
        <v>0</v>
      </c>
      <c r="L11" s="186">
        <f>+L9*L10</f>
        <v>0</v>
      </c>
      <c r="M11" s="186">
        <f>+M9*M10</f>
        <v>0</v>
      </c>
      <c r="N11" s="186">
        <f>+N9*N10</f>
        <v>0</v>
      </c>
    </row>
    <row r="12" spans="2:14" ht="18" customHeight="1" x14ac:dyDescent="0.25">
      <c r="B12" s="182" t="s">
        <v>381</v>
      </c>
      <c r="C12" s="118"/>
      <c r="D12" s="191">
        <f>SUM(D6:D11)</f>
        <v>185.10141028617116</v>
      </c>
      <c r="E12" s="191">
        <f>SUM(E6:E11)</f>
        <v>135.64153277234232</v>
      </c>
      <c r="F12" s="191">
        <f>SUM(F6:F11)</f>
        <v>125.35395480531349</v>
      </c>
      <c r="G12" s="191">
        <f>SUM(G6:G11)</f>
        <v>112.04539136894185</v>
      </c>
      <c r="J12" s="182" t="s">
        <v>243</v>
      </c>
      <c r="K12" s="182">
        <f>+K8+K11</f>
        <v>0</v>
      </c>
      <c r="L12" s="182">
        <f>+L8+L11</f>
        <v>0</v>
      </c>
      <c r="M12" s="182">
        <f>+M8+M11</f>
        <v>0</v>
      </c>
      <c r="N12" s="182">
        <f>+N8+N11</f>
        <v>0</v>
      </c>
    </row>
    <row r="13" spans="2:14" ht="18" customHeight="1" x14ac:dyDescent="0.25">
      <c r="B13" s="185" t="s">
        <v>382</v>
      </c>
      <c r="C13" s="25"/>
      <c r="D13" s="190">
        <f>-APRI!C126*CALCOLI!$D$48</f>
        <v>-83.53555200000001</v>
      </c>
      <c r="E13" s="190">
        <f>-APRI!E126*CALCOLI!$D$48</f>
        <v>-99.519053999999997</v>
      </c>
      <c r="F13" s="190">
        <f>-APRI!G126*CALCOLI!$D$48</f>
        <v>-119.53278</v>
      </c>
      <c r="G13" s="190">
        <f>-APRI!I126*CALCOLI!$D$48</f>
        <v>-122.99923061999999</v>
      </c>
      <c r="J13" s="190" t="s">
        <v>192</v>
      </c>
      <c r="K13" s="186">
        <f>IF(APRI!$D$36&gt;APRI!$C$36,APRI!C125,0)</f>
        <v>0</v>
      </c>
      <c r="L13" s="186">
        <f>IF(APRI!$D$36&gt;APRI!$C$36,APRI!E125,0)</f>
        <v>0</v>
      </c>
      <c r="M13" s="186">
        <f>IF(APRI!$D$36&gt;APRI!$C$36,APRI!G125,0)</f>
        <v>0</v>
      </c>
      <c r="N13" s="186">
        <f>IF(APRI!$D$36&gt;APRI!$C$36,APRI!I125,0)</f>
        <v>0</v>
      </c>
    </row>
    <row r="14" spans="2:14" ht="18" customHeight="1" x14ac:dyDescent="0.25">
      <c r="B14" s="185" t="s">
        <v>383</v>
      </c>
      <c r="C14" s="118"/>
      <c r="D14" s="190">
        <f>+D13+D12</f>
        <v>101.56585828617115</v>
      </c>
      <c r="E14" s="190">
        <f>+E13+E12</f>
        <v>36.122478772342319</v>
      </c>
      <c r="F14" s="190">
        <f>+F13+F12</f>
        <v>5.8211748053134897</v>
      </c>
      <c r="G14" s="190">
        <f>+G13+G12</f>
        <v>-10.953839251058142</v>
      </c>
      <c r="J14" s="190" t="s">
        <v>372</v>
      </c>
      <c r="K14" s="186">
        <f>IF(APRI!$B$36&gt;0,+APRI!$B$36/12*APRI!C9,K13)</f>
        <v>0</v>
      </c>
      <c r="L14" s="186">
        <f>IF(APRI!B36&gt;0,+APRI!B36*(1+APRI!F13),L13)</f>
        <v>0</v>
      </c>
      <c r="M14" s="186">
        <f>IF(APRI!$B$36&gt;0,+L14*(1+APRI!H13),M13)</f>
        <v>0</v>
      </c>
      <c r="N14" s="186">
        <f>IF(APRI!$B$36&gt;0,+M14*(1+APRI!J13),N13)</f>
        <v>0</v>
      </c>
    </row>
    <row r="15" spans="2:14" ht="18" customHeight="1" x14ac:dyDescent="0.25">
      <c r="B15" s="185" t="s">
        <v>279</v>
      </c>
      <c r="C15" s="133"/>
      <c r="D15" s="190">
        <f>-APRI!C106</f>
        <v>-65</v>
      </c>
      <c r="E15" s="190">
        <f>-APRI!D106</f>
        <v>-14</v>
      </c>
      <c r="F15" s="190">
        <f>-APRI!E106</f>
        <v>0</v>
      </c>
      <c r="G15" s="190">
        <f>-APRI!F106</f>
        <v>0</v>
      </c>
      <c r="J15" s="185" t="s">
        <v>373</v>
      </c>
      <c r="K15" s="187">
        <f>IF(APRI!D36&gt;APRI!C36,APRI!D36,0)</f>
        <v>0</v>
      </c>
      <c r="L15" s="187">
        <f>+K15</f>
        <v>0</v>
      </c>
      <c r="M15" s="187">
        <f>+L15</f>
        <v>0</v>
      </c>
      <c r="N15" s="187">
        <f>+M15</f>
        <v>0</v>
      </c>
    </row>
    <row r="16" spans="2:14" ht="18" customHeight="1" x14ac:dyDescent="0.25">
      <c r="B16" s="185" t="s">
        <v>384</v>
      </c>
      <c r="C16" s="134"/>
      <c r="D16" s="190">
        <f>SUM(D14:D15)</f>
        <v>36.565858286171149</v>
      </c>
      <c r="E16" s="190">
        <f>SUM(E14:E15)</f>
        <v>22.122478772342319</v>
      </c>
      <c r="F16" s="190">
        <f>SUM(F14:F15)</f>
        <v>5.8211748053134897</v>
      </c>
      <c r="G16" s="190">
        <f>SUM(G14:G15)</f>
        <v>-10.953839251058142</v>
      </c>
      <c r="J16" s="185" t="s">
        <v>375</v>
      </c>
      <c r="K16" s="186">
        <f>+K14*K15</f>
        <v>0</v>
      </c>
      <c r="L16" s="186">
        <f>+L14*L15</f>
        <v>0</v>
      </c>
      <c r="M16" s="186">
        <f>+M14*M15</f>
        <v>0</v>
      </c>
      <c r="N16" s="186">
        <f>+N14*N15</f>
        <v>0</v>
      </c>
    </row>
    <row r="17" spans="2:14" ht="18" customHeight="1" x14ac:dyDescent="0.25">
      <c r="J17" s="190" t="s">
        <v>377</v>
      </c>
      <c r="K17" s="186">
        <f>IF(K13&gt;K14,+K13-K14,0)</f>
        <v>0</v>
      </c>
      <c r="L17" s="186">
        <f>IF(L13&gt;L14,+L13-L14,0)</f>
        <v>0</v>
      </c>
      <c r="M17" s="186">
        <f>IF(M13&gt;M14,+M13-M14,0)</f>
        <v>0</v>
      </c>
      <c r="N17" s="186">
        <f>IF(N13&gt;N14,+N13-N14,0)</f>
        <v>0</v>
      </c>
    </row>
    <row r="18" spans="2:14" ht="18" customHeight="1" x14ac:dyDescent="0.25">
      <c r="J18" s="190" t="s">
        <v>379</v>
      </c>
      <c r="K18" s="187">
        <f>IF(APRI!D37&gt;APRI!C37,APRI!D37,0)</f>
        <v>0</v>
      </c>
      <c r="L18" s="187">
        <f>+K18</f>
        <v>0</v>
      </c>
      <c r="M18" s="187">
        <f>+L18</f>
        <v>0</v>
      </c>
      <c r="N18" s="187">
        <f>+M18</f>
        <v>0</v>
      </c>
    </row>
    <row r="19" spans="2:14" ht="18" customHeight="1" x14ac:dyDescent="0.25">
      <c r="B19" s="344" t="s">
        <v>385</v>
      </c>
      <c r="C19" s="294"/>
      <c r="D19" s="192">
        <v>1</v>
      </c>
      <c r="E19" s="192">
        <v>2</v>
      </c>
      <c r="F19" s="192">
        <v>3</v>
      </c>
      <c r="G19" s="192">
        <v>4</v>
      </c>
      <c r="H19" s="192">
        <v>5</v>
      </c>
      <c r="J19" s="185" t="s">
        <v>386</v>
      </c>
      <c r="K19" s="186">
        <f>+K17*K18</f>
        <v>0</v>
      </c>
      <c r="L19" s="186">
        <f>+L17*L18</f>
        <v>0</v>
      </c>
      <c r="M19" s="186">
        <f>+M17*M18</f>
        <v>0</v>
      </c>
      <c r="N19" s="186">
        <f>+N17*N18</f>
        <v>0</v>
      </c>
    </row>
    <row r="20" spans="2:14" ht="18" customHeight="1" x14ac:dyDescent="0.25">
      <c r="B20" s="182" t="s">
        <v>387</v>
      </c>
      <c r="C20" s="118"/>
      <c r="D20" s="191">
        <v>0</v>
      </c>
      <c r="E20" s="191">
        <f>+D28</f>
        <v>65</v>
      </c>
      <c r="F20" s="191">
        <f>+E28</f>
        <v>14</v>
      </c>
      <c r="G20" s="191">
        <f>+F28</f>
        <v>0</v>
      </c>
      <c r="H20" s="191">
        <f>+G28</f>
        <v>0</v>
      </c>
      <c r="J20" s="182" t="s">
        <v>243</v>
      </c>
      <c r="K20" s="182">
        <f>+K16+K19</f>
        <v>0</v>
      </c>
      <c r="L20" s="182">
        <f>+L16+L19</f>
        <v>0</v>
      </c>
      <c r="M20" s="182">
        <f>+M16+M19</f>
        <v>0</v>
      </c>
      <c r="N20" s="182">
        <f>+N16+N19</f>
        <v>0</v>
      </c>
    </row>
    <row r="21" spans="2:14" ht="18" customHeight="1" x14ac:dyDescent="0.25">
      <c r="B21" s="185" t="s">
        <v>388</v>
      </c>
      <c r="C21" s="118"/>
      <c r="D21" s="190">
        <f>-D15</f>
        <v>65</v>
      </c>
      <c r="E21" s="190">
        <f>-E15</f>
        <v>14</v>
      </c>
      <c r="F21" s="190">
        <f>-F15</f>
        <v>0</v>
      </c>
      <c r="G21" s="190">
        <f>-G15</f>
        <v>0</v>
      </c>
      <c r="H21" s="135"/>
      <c r="J21" s="185" t="s">
        <v>389</v>
      </c>
      <c r="K21" s="185">
        <f>IF(K4&gt;(K12+K20),K4,(K12+K20))</f>
        <v>0</v>
      </c>
      <c r="L21" s="185">
        <f>IF(L4&gt;(L12+L20),L4,(L12+L20))</f>
        <v>0</v>
      </c>
      <c r="M21" s="185">
        <f>IF(M4&gt;(M12+M20),M4,(M12+M20))</f>
        <v>0</v>
      </c>
      <c r="N21" s="185">
        <f>IF(N4&gt;(N12+N20),N4,(N12+N20))</f>
        <v>0</v>
      </c>
    </row>
    <row r="22" spans="2:14" ht="18" customHeight="1" x14ac:dyDescent="0.25">
      <c r="B22" s="185" t="s">
        <v>390</v>
      </c>
      <c r="C22" s="118"/>
      <c r="D22" s="136"/>
      <c r="E22" s="136"/>
      <c r="F22" s="136"/>
      <c r="G22" s="136"/>
      <c r="H22" s="135"/>
      <c r="J22" s="137"/>
      <c r="K22" s="137"/>
      <c r="L22" s="137"/>
      <c r="M22" s="137"/>
      <c r="N22" s="67"/>
    </row>
    <row r="23" spans="2:14" ht="18" customHeight="1" x14ac:dyDescent="0.25">
      <c r="B23" s="186">
        <v>1</v>
      </c>
      <c r="C23" s="118"/>
      <c r="D23" s="190">
        <f>IF(APRI!$C$107=1,APRI!$C$106,0)</f>
        <v>0</v>
      </c>
      <c r="E23" s="190">
        <f>IF(APRI!$C$107=2,APRI!$C$106,0)</f>
        <v>65</v>
      </c>
      <c r="F23" s="190">
        <f>IF(APRI!$C$107=3,APRI!$C$106,0)</f>
        <v>0</v>
      </c>
      <c r="G23" s="190">
        <f>IF(APRI!$C$107=4,APRI!$C$106,0)</f>
        <v>0</v>
      </c>
      <c r="H23" s="190">
        <f>IF(APRI!$C$107=5,APRI!$C$106,0)</f>
        <v>0</v>
      </c>
      <c r="I23" s="130"/>
      <c r="J23" s="344" t="s">
        <v>391</v>
      </c>
      <c r="K23" s="293"/>
      <c r="L23" s="294"/>
      <c r="M23" s="103"/>
    </row>
    <row r="24" spans="2:14" ht="18" customHeight="1" x14ac:dyDescent="0.25">
      <c r="B24" s="186">
        <v>2</v>
      </c>
      <c r="C24" s="118"/>
      <c r="D24" s="190">
        <f>IF(APRI!$D$107=1,APRI!$D$106,0)</f>
        <v>0</v>
      </c>
      <c r="E24" s="190">
        <f>IF(APRI!$D$107=2,APRI!$D$106,0)</f>
        <v>0</v>
      </c>
      <c r="F24" s="190">
        <f>IF(APRI!$D$107=3,APRI!$D$106,0)</f>
        <v>14</v>
      </c>
      <c r="G24" s="190">
        <f>IF(APRI!$D$107=4,APRI!$D$106,0)</f>
        <v>0</v>
      </c>
      <c r="H24" s="190">
        <f>IF(APRI!$D$107=5,APRI!$D$106,0)</f>
        <v>0</v>
      </c>
      <c r="I24" s="130"/>
      <c r="J24" s="185" t="s">
        <v>392</v>
      </c>
      <c r="K24" s="185" t="s">
        <v>393</v>
      </c>
      <c r="L24" s="185" t="s">
        <v>394</v>
      </c>
      <c r="M24" s="103"/>
    </row>
    <row r="25" spans="2:14" ht="18" customHeight="1" x14ac:dyDescent="0.25">
      <c r="B25" s="186">
        <v>3</v>
      </c>
      <c r="C25" s="118"/>
      <c r="D25" s="190">
        <f>IF(APRI!$E$107=1,APRI!$E$106,0)</f>
        <v>0</v>
      </c>
      <c r="E25" s="190">
        <f>IF(APRI!$E$107=2,APRI!$E$106,0)</f>
        <v>0</v>
      </c>
      <c r="F25" s="190">
        <f>IF(APRI!$E$107=3,APRI!$E$106,0)</f>
        <v>0</v>
      </c>
      <c r="G25" s="190">
        <f>IF(APRI!$E$107=4,APRI!$E$106,0)</f>
        <v>0</v>
      </c>
      <c r="H25" s="190">
        <f>IF(APRI!$E$107=5,APRI!$E$106,0)</f>
        <v>0</v>
      </c>
      <c r="I25" s="130"/>
      <c r="J25" s="185">
        <f>IF(AND(APRI!B36&gt;0.1,APRI!C2&gt;APRI!B36),APRI!B36,IF(APRI!C2&lt;APRI!B36,APRI!C2,0))</f>
        <v>0</v>
      </c>
      <c r="K25" s="185">
        <f>IF(APRI!C36&gt;APRI!D36,J25*APRI!C36,0)</f>
        <v>0</v>
      </c>
      <c r="L25" s="185">
        <f>IF(APRI!D36&gt;APRI!C36,J25*APRI!D36,0)</f>
        <v>0</v>
      </c>
      <c r="M25" s="103"/>
    </row>
    <row r="26" spans="2:14" ht="18" customHeight="1" x14ac:dyDescent="0.25">
      <c r="B26" s="186">
        <v>4</v>
      </c>
      <c r="C26" s="118"/>
      <c r="D26" s="190">
        <f>IF(APRI!$F$107=1,APRI!$F$106,0)</f>
        <v>0</v>
      </c>
      <c r="E26" s="190">
        <f>IF(APRI!$F$107=2,APRI!$F$106,0)</f>
        <v>0</v>
      </c>
      <c r="F26" s="190">
        <f>IF(APRI!$F$107=3,APRI!$F$106,0)</f>
        <v>0</v>
      </c>
      <c r="G26" s="190">
        <f>IF(APRI!$F$107=4,APRI!$F$106,0)</f>
        <v>0</v>
      </c>
      <c r="H26" s="190">
        <f>IF(APRI!$F$107=5,APRI!$F$106,0)</f>
        <v>0</v>
      </c>
      <c r="I26" s="130"/>
      <c r="J26" s="185">
        <f>IF((+APRI!C2-APRI!B36)&gt;0.1,APRI!C2-APRI!B36,0)</f>
        <v>5800</v>
      </c>
      <c r="K26" s="185">
        <f>IF(APRI!C37&gt;APRI!D37,J26*APRI!C37,0)</f>
        <v>0</v>
      </c>
      <c r="L26" s="185">
        <f>IF(APRI!D37&gt;APRI!C37,J26*APRI!D37,0)</f>
        <v>0</v>
      </c>
    </row>
    <row r="27" spans="2:14" ht="18" customHeight="1" x14ac:dyDescent="0.25">
      <c r="B27" s="186">
        <v>5</v>
      </c>
      <c r="C27" s="118"/>
      <c r="D27" s="136"/>
      <c r="E27" s="136"/>
      <c r="F27" s="136"/>
      <c r="G27" s="136"/>
      <c r="H27" s="135"/>
      <c r="J27" s="185">
        <f>SUM(J25:J26)</f>
        <v>5800</v>
      </c>
      <c r="K27" s="185">
        <f>SUM(K25:K26)</f>
        <v>0</v>
      </c>
      <c r="L27" s="185">
        <f>SUM(L25:L26)</f>
        <v>0</v>
      </c>
    </row>
    <row r="28" spans="2:14" ht="18" customHeight="1" x14ac:dyDescent="0.25">
      <c r="B28" s="182" t="s">
        <v>395</v>
      </c>
      <c r="C28" s="138"/>
      <c r="D28" s="191">
        <f>+D20+D21-D23-D24-D25-D26-D27</f>
        <v>65</v>
      </c>
      <c r="E28" s="191">
        <f>+E20+E21-E23-E24-E25-E26-E27</f>
        <v>14</v>
      </c>
      <c r="F28" s="191">
        <f>+F20+F21-F23-F24-F25-F26-F27</f>
        <v>0</v>
      </c>
      <c r="G28" s="191">
        <f>+G20+G21-G23-G24-G25-G26-G27</f>
        <v>0</v>
      </c>
      <c r="H28" s="191">
        <f>+H20+H21-H23-H24-H25-H26-H27</f>
        <v>0</v>
      </c>
      <c r="J28" s="182" t="s">
        <v>243</v>
      </c>
      <c r="K28" s="182">
        <f>IF(AND(K27&gt;0,K27&gt;APRI!$B$38),K27,IF(AND(K27&gt;0,K27&lt;APRI!$B$38),APRI!$B$38,0))</f>
        <v>0</v>
      </c>
      <c r="L28" s="182">
        <f>IF(AND(L27&gt;0,L27&gt;APRI!$B$38),L27,IF(AND(L27&gt;0,L27&lt;APRI!$B$38),APRI!$B$38,0))</f>
        <v>0</v>
      </c>
    </row>
    <row r="29" spans="2:14" ht="18" customHeight="1" x14ac:dyDescent="0.25"/>
    <row r="30" spans="2:14" ht="18" customHeight="1" x14ac:dyDescent="0.25">
      <c r="B30" s="182" t="s">
        <v>396</v>
      </c>
      <c r="C30" s="127"/>
      <c r="D30" s="183">
        <v>1</v>
      </c>
      <c r="E30" s="183" t="s">
        <v>397</v>
      </c>
      <c r="F30" s="183" t="s">
        <v>398</v>
      </c>
      <c r="G30" s="183" t="s">
        <v>399</v>
      </c>
      <c r="I30" s="342" t="s">
        <v>400</v>
      </c>
      <c r="J30" s="293"/>
      <c r="K30" s="294"/>
      <c r="L30" s="184">
        <f>+APRI!C51</f>
        <v>3.9E-2</v>
      </c>
      <c r="M30" s="184">
        <f>+APRI!C52</f>
        <v>0.24</v>
      </c>
      <c r="N30" s="342" t="s">
        <v>243</v>
      </c>
    </row>
    <row r="31" spans="2:14" ht="18" customHeight="1" x14ac:dyDescent="0.25">
      <c r="B31" s="185" t="s">
        <v>401</v>
      </c>
      <c r="C31" s="118"/>
      <c r="D31" s="190">
        <f>-E142</f>
        <v>0</v>
      </c>
      <c r="E31" s="190">
        <f>-E147</f>
        <v>0</v>
      </c>
      <c r="F31" s="190">
        <f>-E152</f>
        <v>0</v>
      </c>
      <c r="G31" s="190">
        <f>-K142</f>
        <v>0</v>
      </c>
      <c r="I31" s="185" t="s">
        <v>193</v>
      </c>
      <c r="J31" s="186" t="s">
        <v>402</v>
      </c>
      <c r="K31" s="185" t="s">
        <v>403</v>
      </c>
      <c r="L31" s="187" t="s">
        <v>35</v>
      </c>
      <c r="M31" s="185" t="s">
        <v>404</v>
      </c>
      <c r="N31" s="315"/>
    </row>
    <row r="32" spans="2:14" ht="18" customHeight="1" x14ac:dyDescent="0.25">
      <c r="B32" s="185" t="s">
        <v>405</v>
      </c>
      <c r="C32" s="118"/>
      <c r="D32" s="139"/>
      <c r="E32" s="190">
        <f>-APRI!E119</f>
        <v>0</v>
      </c>
      <c r="F32" s="190">
        <f>-APRI!G119</f>
        <v>0</v>
      </c>
      <c r="G32" s="190">
        <f>-APRI!I119</f>
        <v>0</v>
      </c>
      <c r="I32" s="185">
        <v>1</v>
      </c>
      <c r="J32" s="186">
        <f>+APRI!C138+APRI!C139</f>
        <v>-155.15582530768179</v>
      </c>
      <c r="K32" s="185">
        <f>+APRI!C131</f>
        <v>510.2</v>
      </c>
      <c r="L32" s="185">
        <f>IF((+J32+K32)&gt;0,(J32+K32)*$L$30,0)</f>
        <v>13.846722813000408</v>
      </c>
      <c r="M32" s="185">
        <f>IF(J32&gt;0,+J32*$M$30,0)</f>
        <v>0</v>
      </c>
      <c r="N32" s="185">
        <f>+L32+M32</f>
        <v>13.846722813000408</v>
      </c>
    </row>
    <row r="33" spans="2:14" ht="18" customHeight="1" x14ac:dyDescent="0.25">
      <c r="B33" s="185" t="s">
        <v>406</v>
      </c>
      <c r="C33" s="118"/>
      <c r="D33" s="139"/>
      <c r="E33" s="190">
        <f>-D34</f>
        <v>56.035200000000003</v>
      </c>
      <c r="F33" s="190">
        <f>-E34</f>
        <v>61.872200000000007</v>
      </c>
      <c r="G33" s="190">
        <f>-F34</f>
        <v>67.70920000000001</v>
      </c>
      <c r="I33" s="185">
        <v>2</v>
      </c>
      <c r="J33" s="186">
        <f>+APRI!E138+APRI!E139</f>
        <v>-45.161595938918062</v>
      </c>
      <c r="K33" s="185">
        <f>+APRI!E131</f>
        <v>537.20408991596628</v>
      </c>
      <c r="L33" s="185">
        <f>IF((+J33+K33)&gt;0,(J33+K33)*$L$30,0)</f>
        <v>19.189657265104881</v>
      </c>
      <c r="M33" s="185">
        <f>IF(J33&gt;0,+J33*$M$30,0)</f>
        <v>0</v>
      </c>
      <c r="N33" s="185">
        <f>+L33+M33</f>
        <v>19.189657265104881</v>
      </c>
    </row>
    <row r="34" spans="2:14" ht="18" customHeight="1" x14ac:dyDescent="0.25">
      <c r="B34" s="185" t="s">
        <v>407</v>
      </c>
      <c r="C34" s="118"/>
      <c r="D34" s="190">
        <f>-F55</f>
        <v>-56.035200000000003</v>
      </c>
      <c r="E34" s="190">
        <f>-H55</f>
        <v>-61.872200000000007</v>
      </c>
      <c r="F34" s="190">
        <f>-J55</f>
        <v>-67.70920000000001</v>
      </c>
      <c r="G34" s="190">
        <f>-L55</f>
        <v>-69.672766799999991</v>
      </c>
      <c r="I34" s="185">
        <v>3</v>
      </c>
      <c r="J34" s="186">
        <f>+APRI!G138+APRI!G139</f>
        <v>97.289610857856118</v>
      </c>
      <c r="K34" s="185">
        <f>+APRI!G131</f>
        <v>579.70128583445376</v>
      </c>
      <c r="L34" s="185">
        <f>IF((+J34+K34)&gt;0,(J34+K34)*$L$30,0)</f>
        <v>26.402644971000086</v>
      </c>
      <c r="M34" s="185">
        <f>IF(J34&gt;0,+J34*$M$30,0)</f>
        <v>23.349506605885466</v>
      </c>
      <c r="N34" s="185">
        <f>+L34+M34</f>
        <v>49.752151576885552</v>
      </c>
    </row>
    <row r="35" spans="2:14" ht="18" customHeight="1" x14ac:dyDescent="0.25">
      <c r="B35" s="185" t="s">
        <v>408</v>
      </c>
      <c r="C35" s="118"/>
      <c r="D35" s="190">
        <f>+APRI!C133</f>
        <v>27.947142857142858</v>
      </c>
      <c r="E35" s="190">
        <f>+APRI!E133</f>
        <v>27.947142857142858</v>
      </c>
      <c r="F35" s="190">
        <f>+APRI!G133</f>
        <v>27.947142857142858</v>
      </c>
      <c r="G35" s="190">
        <f>+APRI!I133</f>
        <v>27.947142857142858</v>
      </c>
      <c r="I35" s="185">
        <v>4</v>
      </c>
      <c r="J35" s="185">
        <f>+APRI!I138+APRI!I139</f>
        <v>59.911460755455323</v>
      </c>
      <c r="K35" s="185">
        <f>+APRI!I131</f>
        <v>639.11469546268245</v>
      </c>
      <c r="L35" s="185">
        <f>IF((+J35+K35)&gt;0,(J35+K35)*$L$30,0)</f>
        <v>27.262020092507374</v>
      </c>
      <c r="M35" s="185">
        <f>IF(J35&gt;0,+J35*$M$30,0)</f>
        <v>14.378750581309276</v>
      </c>
      <c r="N35" s="185">
        <f>+L35+M35</f>
        <v>41.640770673816647</v>
      </c>
    </row>
    <row r="36" spans="2:14" ht="18" customHeight="1" x14ac:dyDescent="0.25">
      <c r="B36" s="185" t="s">
        <v>314</v>
      </c>
      <c r="C36" s="118"/>
      <c r="D36" s="190">
        <f>APRI!C138</f>
        <v>-155.49617143064813</v>
      </c>
      <c r="E36" s="190">
        <f>APRI!E138</f>
        <v>-40.725621346614275</v>
      </c>
      <c r="F36" s="190">
        <f>APRI!G138</f>
        <v>96.031604794898158</v>
      </c>
      <c r="G36" s="190">
        <f>APRI!I138</f>
        <v>57.029335566409372</v>
      </c>
    </row>
    <row r="37" spans="2:14" ht="18" customHeight="1" x14ac:dyDescent="0.25">
      <c r="B37" s="185" t="s">
        <v>329</v>
      </c>
      <c r="C37" s="118"/>
      <c r="D37" s="185">
        <f>(APRI!C22*APRI!D22+APRI!C23*APRI!D23)*5%+(APRI!C24*APRI!D24)/15</f>
        <v>26.21</v>
      </c>
      <c r="E37" s="185">
        <f>(APRI!E22*APRI!F22+APRI!E23*APRI!F23)*5%+(APRI!E24*APRI!F24)/15</f>
        <v>27.783975994397757</v>
      </c>
      <c r="F37" s="185">
        <f>(APRI!G22*APRI!H22+APRI!G23*APRI!H23)*5%+(APRI!G24*APRI!H24)/15</f>
        <v>30.384263118963585</v>
      </c>
      <c r="G37" s="185">
        <f>(APRI!I22*APRI!J22+APRI!I23*APRI!J23)*5%+(APRI!I24*APRI!J24)/15</f>
        <v>31.374642832334121</v>
      </c>
    </row>
    <row r="38" spans="2:14" ht="18" customHeight="1" x14ac:dyDescent="0.25">
      <c r="B38" s="185" t="s">
        <v>409</v>
      </c>
      <c r="C38" s="118"/>
      <c r="D38" s="190">
        <f>IF(D14&gt;0,-D14,0)</f>
        <v>-101.56585828617115</v>
      </c>
      <c r="E38" s="190">
        <f>IF(E14&gt;0,-E14,0)</f>
        <v>-36.122478772342319</v>
      </c>
      <c r="F38" s="190">
        <f>IF(F14&gt;0,-F14,0)</f>
        <v>-5.8211748053134897</v>
      </c>
      <c r="G38" s="190">
        <f>IF(G14&gt;0,-G14,0)</f>
        <v>0</v>
      </c>
      <c r="I38" s="185" t="s">
        <v>410</v>
      </c>
      <c r="J38" s="140"/>
    </row>
    <row r="39" spans="2:14" ht="18" customHeight="1" x14ac:dyDescent="0.25">
      <c r="B39" s="185" t="s">
        <v>411</v>
      </c>
      <c r="C39" s="141"/>
      <c r="D39" s="190">
        <f>SUM(D31:D38)</f>
        <v>-258.9400868596764</v>
      </c>
      <c r="E39" s="190">
        <f>SUM(E31:E38)</f>
        <v>-26.953981267415983</v>
      </c>
      <c r="F39" s="190">
        <f>SUM(F31:F38)</f>
        <v>142.7048359656911</v>
      </c>
      <c r="G39" s="190">
        <f>SUM(G31:G38)</f>
        <v>114.38755445588636</v>
      </c>
      <c r="I39" s="185" t="s">
        <v>182</v>
      </c>
      <c r="J39" s="185" t="s">
        <v>412</v>
      </c>
    </row>
    <row r="40" spans="2:14" ht="18" customHeight="1" x14ac:dyDescent="0.25">
      <c r="B40" s="185" t="s">
        <v>413</v>
      </c>
      <c r="C40" s="118"/>
      <c r="D40" s="190">
        <f>D39/2</f>
        <v>-129.4700434298382</v>
      </c>
      <c r="E40" s="190">
        <f>E39/2</f>
        <v>-13.476990633707992</v>
      </c>
      <c r="F40" s="190">
        <f>F39/2</f>
        <v>71.352417982845552</v>
      </c>
      <c r="G40" s="190">
        <f>G39/2</f>
        <v>57.19377722794318</v>
      </c>
      <c r="I40" s="186">
        <v>1</v>
      </c>
      <c r="J40" s="185">
        <f>IF(APRI!C141&gt;0,APRI!C141-(APRI!C141*APRI!$C$102),APRI!C141-(APRI!C141*APRI!$C$101))</f>
        <v>-169.00254812068221</v>
      </c>
    </row>
    <row r="41" spans="2:14" ht="18" customHeight="1" x14ac:dyDescent="0.25">
      <c r="B41" s="185" t="s">
        <v>414</v>
      </c>
      <c r="C41" s="118"/>
      <c r="D41" s="190">
        <f>((-APRI!C128+APRI!C131+APRI!C132+APRI!C136)/12)/(APRI!C9+APRI!C10)*12</f>
        <v>63.623066666666666</v>
      </c>
      <c r="E41" s="190">
        <f>(-APRI!E128+APRI!E131+APRI!E132+APRI!E136)/12</f>
        <v>66.912824159663856</v>
      </c>
      <c r="F41" s="190">
        <f>(-APRI!G128+APRI!G131+APRI!G132+APRI!G136)/12</f>
        <v>71.656553819537805</v>
      </c>
      <c r="G41" s="190">
        <f>(-APRI!I128+APRI!I131+APRI!I132+APRI!I136)/12</f>
        <v>77.508818241890197</v>
      </c>
      <c r="I41" s="186">
        <v>2</v>
      </c>
      <c r="J41" s="185">
        <f>IF(APRI!E141&gt;0,APRI!E141-(APRI!E141*APRI!$C$102),APRI!E141-(APRI!E141*APRI!$C$101))</f>
        <v>-64.351253204022939</v>
      </c>
    </row>
    <row r="42" spans="2:14" ht="18" customHeight="1" x14ac:dyDescent="0.25">
      <c r="B42" s="185" t="s">
        <v>415</v>
      </c>
      <c r="C42" s="118"/>
      <c r="D42" s="190">
        <f>IF(D14&lt;0,D14/APRI!C9,0)</f>
        <v>0</v>
      </c>
      <c r="E42" s="190">
        <f>IF(E14&lt;0,E14/12,0)</f>
        <v>0</v>
      </c>
      <c r="F42" s="190">
        <f>IF(F14&lt;0,F14/12,0)</f>
        <v>0</v>
      </c>
      <c r="G42" s="190">
        <f>IF(G14&lt;0,G14/12,0)</f>
        <v>-0.91281993758817848</v>
      </c>
      <c r="I42" s="186">
        <v>3</v>
      </c>
      <c r="J42" s="185">
        <f>IF(APRI!G141&gt;0,APRI!G141-(APRI!G141*APRI!$C$102),APRI!G141-(APRI!G141*APRI!$C$101))</f>
        <v>47.537459280970566</v>
      </c>
    </row>
    <row r="43" spans="2:14" ht="18" customHeight="1" x14ac:dyDescent="0.25">
      <c r="B43" s="182" t="s">
        <v>416</v>
      </c>
      <c r="C43" s="134"/>
      <c r="D43" s="191">
        <f>SUM(D40:D42)</f>
        <v>-65.84697676317154</v>
      </c>
      <c r="E43" s="191">
        <f>SUM(E40:E42)</f>
        <v>53.435833525955864</v>
      </c>
      <c r="F43" s="191">
        <f>SUM(F40:F42)</f>
        <v>143.00897180238337</v>
      </c>
      <c r="G43" s="191">
        <f>SUM(G40:G42)</f>
        <v>133.78977553224519</v>
      </c>
      <c r="I43" s="183">
        <v>4</v>
      </c>
      <c r="J43" s="182">
        <f>IF(APRI!I141&gt;0,APRI!I141-(APRI!J141*APRI!$C$102),APRI!I141-(APRI!I141*APRI!$C$101))</f>
        <v>18.270690081638676</v>
      </c>
    </row>
    <row r="44" spans="2:14" ht="18" customHeight="1" x14ac:dyDescent="0.25">
      <c r="B44" s="59"/>
      <c r="C44" s="142"/>
      <c r="D44" s="143"/>
      <c r="E44" s="144"/>
      <c r="F44" s="144"/>
      <c r="G44" s="144"/>
      <c r="H44" s="144"/>
      <c r="I44" s="59"/>
    </row>
    <row r="45" spans="2:14" ht="18" customHeight="1" x14ac:dyDescent="0.25">
      <c r="B45" s="185" t="s">
        <v>417</v>
      </c>
      <c r="C45" s="145"/>
      <c r="D45" s="185" t="s">
        <v>345</v>
      </c>
      <c r="E45" s="185" t="s">
        <v>418</v>
      </c>
      <c r="F45" s="185" t="s">
        <v>346</v>
      </c>
      <c r="G45" s="185" t="s">
        <v>419</v>
      </c>
      <c r="I45" s="146"/>
      <c r="J45" s="146"/>
      <c r="K45" s="146"/>
    </row>
    <row r="46" spans="2:14" ht="18" customHeight="1" x14ac:dyDescent="0.25">
      <c r="B46" s="185" t="s">
        <v>420</v>
      </c>
      <c r="D46" s="193">
        <f>+APRI!B59</f>
        <v>0.25</v>
      </c>
      <c r="E46" s="193">
        <f>APRI!B59*(1+APRI!F13)</f>
        <v>0.25724999999999998</v>
      </c>
      <c r="F46" s="193">
        <f>E46*(1+APRI!H13)</f>
        <v>0.26471024999999998</v>
      </c>
      <c r="G46" s="193">
        <f>F46*(1+APRI!J13)</f>
        <v>0.27238684724999995</v>
      </c>
      <c r="I46" s="190" t="s">
        <v>421</v>
      </c>
      <c r="J46" s="147"/>
      <c r="K46" s="190">
        <f>+APRI!C9</f>
        <v>12</v>
      </c>
    </row>
    <row r="47" spans="2:14" ht="18" customHeight="1" x14ac:dyDescent="0.25">
      <c r="B47" s="182" t="s">
        <v>422</v>
      </c>
      <c r="C47" s="20"/>
      <c r="D47" s="182">
        <f>D46*APRI!$F$29</f>
        <v>250</v>
      </c>
      <c r="E47" s="182">
        <f>E46*APRI!$F$29</f>
        <v>257.25</v>
      </c>
      <c r="F47" s="182">
        <f>F46*APRI!$F$29</f>
        <v>264.71024999999997</v>
      </c>
      <c r="G47" s="182">
        <f>G46*APRI!$F$29</f>
        <v>272.38684724999996</v>
      </c>
      <c r="I47" s="345" t="s">
        <v>423</v>
      </c>
      <c r="J47" s="294"/>
      <c r="K47" s="191">
        <f>+APRI!C10</f>
        <v>0</v>
      </c>
    </row>
    <row r="48" spans="2:14" ht="18" customHeight="1" x14ac:dyDescent="0.25">
      <c r="B48" s="182" t="s">
        <v>424</v>
      </c>
      <c r="C48" s="148"/>
      <c r="D48" s="184">
        <f>APRI!F8</f>
        <v>0.10199999999999999</v>
      </c>
      <c r="E48" s="184">
        <f>D48</f>
        <v>0.10199999999999999</v>
      </c>
      <c r="F48" s="184">
        <f>E48</f>
        <v>0.10199999999999999</v>
      </c>
      <c r="G48" s="184">
        <f>F48</f>
        <v>0.10199999999999999</v>
      </c>
      <c r="I48" s="345" t="s">
        <v>425</v>
      </c>
      <c r="J48" s="294"/>
      <c r="K48" s="191">
        <f>IF((APRI!C9+APRI!C10)&gt;12,0,+APRI!C9+APRI!C10)</f>
        <v>12</v>
      </c>
    </row>
    <row r="49" spans="2:13" ht="18" customHeight="1" x14ac:dyDescent="0.25">
      <c r="C49" s="59"/>
      <c r="D49" s="149"/>
      <c r="E49" s="149"/>
      <c r="F49" s="149"/>
      <c r="G49" s="149"/>
      <c r="I49" s="150"/>
      <c r="J49" s="150"/>
      <c r="K49" s="146"/>
    </row>
    <row r="50" spans="2:13" ht="18" customHeight="1" x14ac:dyDescent="0.25">
      <c r="B50" s="59"/>
      <c r="C50" s="344" t="s">
        <v>426</v>
      </c>
      <c r="D50" s="293"/>
      <c r="E50" s="293"/>
      <c r="F50" s="293"/>
      <c r="G50" s="293"/>
      <c r="H50" s="293"/>
      <c r="I50" s="293"/>
      <c r="J50" s="293"/>
      <c r="K50" s="293"/>
      <c r="L50" s="293"/>
      <c r="M50" s="294"/>
    </row>
    <row r="51" spans="2:13" ht="18" customHeight="1" x14ac:dyDescent="0.25">
      <c r="B51" s="59"/>
      <c r="C51" s="151"/>
      <c r="D51" s="152"/>
      <c r="E51" s="185" t="s">
        <v>371</v>
      </c>
      <c r="F51" s="185" t="s">
        <v>427</v>
      </c>
      <c r="G51" s="190" t="s">
        <v>428</v>
      </c>
      <c r="H51" s="185" t="s">
        <v>427</v>
      </c>
      <c r="I51" s="190" t="s">
        <v>428</v>
      </c>
      <c r="J51" s="185" t="s">
        <v>427</v>
      </c>
      <c r="K51" s="190" t="s">
        <v>428</v>
      </c>
      <c r="L51" s="185" t="s">
        <v>427</v>
      </c>
      <c r="M51" s="190" t="s">
        <v>428</v>
      </c>
    </row>
    <row r="52" spans="2:13" ht="18" customHeight="1" x14ac:dyDescent="0.25">
      <c r="B52" s="59"/>
      <c r="C52" s="185" t="str">
        <f>+APRI!A144</f>
        <v>CASSA</v>
      </c>
      <c r="E52" s="190">
        <f>+F52</f>
        <v>26.666666666666668</v>
      </c>
      <c r="F52" s="190">
        <f>+APRI!C144</f>
        <v>26.666666666666668</v>
      </c>
      <c r="G52" s="190">
        <f t="shared" ref="G52:G57" si="0">(E52+F52)/2</f>
        <v>26.666666666666668</v>
      </c>
      <c r="H52" s="190">
        <f>+APRI!E144</f>
        <v>29.041095890410958</v>
      </c>
      <c r="I52" s="190">
        <f t="shared" ref="I52:I57" si="1">(+F52+H52)/2</f>
        <v>27.853881278538815</v>
      </c>
      <c r="J52" s="190">
        <f>+APRI!G144</f>
        <v>31.780821917808218</v>
      </c>
      <c r="K52" s="190">
        <f t="shared" ref="K52:K57" si="2">(+H52+J52)/2</f>
        <v>30.410958904109588</v>
      </c>
      <c r="L52" s="190">
        <f>+APRI!I144</f>
        <v>32.702465753424654</v>
      </c>
      <c r="M52" s="190">
        <f t="shared" ref="M52:M57" si="3">(+J52+L52)/2</f>
        <v>32.241643835616436</v>
      </c>
    </row>
    <row r="53" spans="2:13" ht="18" customHeight="1" x14ac:dyDescent="0.25">
      <c r="B53" s="59"/>
      <c r="C53" s="185" t="str">
        <f>+APRI!A145</f>
        <v>CESPITI \ IMMOB.FINANZIARI</v>
      </c>
      <c r="E53" s="190">
        <f>+F53</f>
        <v>292</v>
      </c>
      <c r="F53" s="190">
        <f>+APRI!C145</f>
        <v>292</v>
      </c>
      <c r="G53" s="190">
        <f t="shared" si="0"/>
        <v>292</v>
      </c>
      <c r="H53" s="190">
        <f>+APRI!E145</f>
        <v>292</v>
      </c>
      <c r="I53" s="190">
        <f t="shared" si="1"/>
        <v>292</v>
      </c>
      <c r="J53" s="190">
        <f>+APRI!G145</f>
        <v>292</v>
      </c>
      <c r="K53" s="190">
        <f t="shared" si="2"/>
        <v>292</v>
      </c>
      <c r="L53" s="190">
        <f>+APRI!I145</f>
        <v>292</v>
      </c>
      <c r="M53" s="190">
        <f t="shared" si="3"/>
        <v>292</v>
      </c>
    </row>
    <row r="54" spans="2:13" ht="18" customHeight="1" x14ac:dyDescent="0.25">
      <c r="B54" s="59"/>
      <c r="C54" s="185" t="str">
        <f>+APRI!A146</f>
        <v>SCORTE</v>
      </c>
      <c r="E54" s="190">
        <f>+F54</f>
        <v>250</v>
      </c>
      <c r="F54" s="190">
        <f>+APRI!C146</f>
        <v>250</v>
      </c>
      <c r="G54" s="190">
        <f t="shared" si="0"/>
        <v>250</v>
      </c>
      <c r="H54" s="190">
        <f>+APRI!E146</f>
        <v>257.25</v>
      </c>
      <c r="I54" s="190">
        <f t="shared" si="1"/>
        <v>253.625</v>
      </c>
      <c r="J54" s="190">
        <f>+APRI!G146</f>
        <v>264.71024999999997</v>
      </c>
      <c r="K54" s="190">
        <f t="shared" si="2"/>
        <v>260.98012499999999</v>
      </c>
      <c r="L54" s="190">
        <f>+APRI!I146</f>
        <v>272.38684724999996</v>
      </c>
      <c r="M54" s="190">
        <f t="shared" si="3"/>
        <v>268.54854862499997</v>
      </c>
    </row>
    <row r="55" spans="2:13" ht="18" customHeight="1" x14ac:dyDescent="0.25">
      <c r="B55" s="59"/>
      <c r="C55" s="185" t="str">
        <f>+APRI!A147</f>
        <v>CREDITO P.F.A.</v>
      </c>
      <c r="E55" s="190">
        <v>0</v>
      </c>
      <c r="F55" s="190">
        <f>IF(APRI!$C$56+180&gt;365,APRI!C129,APRI!C129/365*APRI!$C$56)</f>
        <v>56.035200000000003</v>
      </c>
      <c r="G55" s="190">
        <f t="shared" si="0"/>
        <v>28.017600000000002</v>
      </c>
      <c r="H55" s="190">
        <f>IF(APRI!$C$56+180&gt;365,APRI!E129,APRI!E129/365*APRI!$C$56)</f>
        <v>61.872200000000007</v>
      </c>
      <c r="I55" s="190">
        <f t="shared" si="1"/>
        <v>58.953700000000005</v>
      </c>
      <c r="J55" s="190">
        <f>IF(APRI!$C$56+180&gt;365,APRI!G129,APRI!G129/365*APRI!$C$56)</f>
        <v>67.70920000000001</v>
      </c>
      <c r="K55" s="190">
        <f t="shared" si="2"/>
        <v>64.790700000000015</v>
      </c>
      <c r="L55" s="190">
        <f>IF(APRI!$C$56+180&gt;365,APRI!I129,APRI!I129/365*APRI!$C$56)</f>
        <v>69.672766799999991</v>
      </c>
      <c r="M55" s="190">
        <f t="shared" si="3"/>
        <v>68.690983399999993</v>
      </c>
    </row>
    <row r="56" spans="2:13" ht="18" customHeight="1" x14ac:dyDescent="0.25">
      <c r="B56" s="59"/>
      <c r="C56" s="185" t="str">
        <f>+APRI!A148</f>
        <v>CREDITO IVA A RIMBORSO</v>
      </c>
      <c r="E56" s="190">
        <v>0</v>
      </c>
      <c r="F56" s="190">
        <f>+APRI!C148</f>
        <v>65</v>
      </c>
      <c r="G56" s="190">
        <f t="shared" si="0"/>
        <v>32.5</v>
      </c>
      <c r="H56" s="190">
        <f>+APRI!E148</f>
        <v>14</v>
      </c>
      <c r="I56" s="190">
        <f t="shared" si="1"/>
        <v>39.5</v>
      </c>
      <c r="J56" s="190">
        <f>+APRI!G148</f>
        <v>0</v>
      </c>
      <c r="K56" s="190">
        <f t="shared" si="2"/>
        <v>7</v>
      </c>
      <c r="L56" s="190">
        <f>+APRI!I148</f>
        <v>0</v>
      </c>
      <c r="M56" s="190">
        <f t="shared" si="3"/>
        <v>0</v>
      </c>
    </row>
    <row r="57" spans="2:13" ht="18" customHeight="1" x14ac:dyDescent="0.25">
      <c r="B57" s="59"/>
      <c r="C57" s="185" t="str">
        <f>+APRI!A149</f>
        <v>CREDITO IVA (a breve)</v>
      </c>
      <c r="E57" s="190">
        <v>0</v>
      </c>
      <c r="F57" s="190">
        <f>+APRI!C149</f>
        <v>36.565858286171149</v>
      </c>
      <c r="G57" s="190">
        <f t="shared" si="0"/>
        <v>18.282929143085575</v>
      </c>
      <c r="H57" s="190">
        <f>+APRI!E149</f>
        <v>22.122478772342319</v>
      </c>
      <c r="I57" s="190">
        <f t="shared" si="1"/>
        <v>29.344168529256734</v>
      </c>
      <c r="J57" s="190">
        <f>+APRI!G149</f>
        <v>5.8211748053134897</v>
      </c>
      <c r="K57" s="190">
        <f t="shared" si="2"/>
        <v>13.971826788827904</v>
      </c>
      <c r="L57" s="190">
        <f>+APRI!I149</f>
        <v>0</v>
      </c>
      <c r="M57" s="190">
        <f t="shared" si="3"/>
        <v>2.9105874026567449</v>
      </c>
    </row>
    <row r="58" spans="2:13" ht="18" customHeight="1" x14ac:dyDescent="0.25">
      <c r="B58" s="59"/>
      <c r="C58" s="185" t="str">
        <f>+APRI!A150</f>
        <v>TOTALE IMMOBILIZZI</v>
      </c>
      <c r="D58" s="56"/>
      <c r="E58" s="190">
        <f t="shared" ref="E58:M58" si="4">SUM(E52:E57)</f>
        <v>568.66666666666674</v>
      </c>
      <c r="F58" s="190">
        <f t="shared" si="4"/>
        <v>726.26772495283797</v>
      </c>
      <c r="G58" s="190">
        <f t="shared" si="4"/>
        <v>647.4671958097523</v>
      </c>
      <c r="H58" s="190">
        <f t="shared" si="4"/>
        <v>676.28577466275328</v>
      </c>
      <c r="I58" s="190">
        <f t="shared" si="4"/>
        <v>701.27674980779568</v>
      </c>
      <c r="J58" s="190">
        <f t="shared" si="4"/>
        <v>662.0214467231217</v>
      </c>
      <c r="K58" s="190">
        <f t="shared" si="4"/>
        <v>669.15361069293749</v>
      </c>
      <c r="L58" s="190">
        <f t="shared" si="4"/>
        <v>666.76207980342463</v>
      </c>
      <c r="M58" s="190">
        <f t="shared" si="4"/>
        <v>664.39176326327333</v>
      </c>
    </row>
    <row r="59" spans="2:13" ht="18" customHeight="1" x14ac:dyDescent="0.25">
      <c r="B59" s="59"/>
      <c r="C59" s="185" t="str">
        <f>+APRI!A151</f>
        <v>FORNITORI MERCE</v>
      </c>
      <c r="E59" s="190">
        <f>+F59</f>
        <v>368.94307857534255</v>
      </c>
      <c r="F59" s="190">
        <f>+APRI!C151</f>
        <v>368.94307857534255</v>
      </c>
      <c r="G59" s="190">
        <f>(E59+F59)/2</f>
        <v>368.94307857534255</v>
      </c>
      <c r="H59" s="190">
        <f>+APRI!E151</f>
        <v>399.8306742739727</v>
      </c>
      <c r="I59" s="190">
        <f>(+F59+H59)/2</f>
        <v>384.38687642465766</v>
      </c>
      <c r="J59" s="190">
        <f>+APRI!G151</f>
        <v>426.5429882191782</v>
      </c>
      <c r="K59" s="190">
        <f>(+H59+J59)/2</f>
        <v>413.18683124657548</v>
      </c>
      <c r="L59" s="190">
        <f>+APRI!I151</f>
        <v>438.91273487753421</v>
      </c>
      <c r="M59" s="190">
        <f>(+J59+L59)/2</f>
        <v>432.7278615483562</v>
      </c>
    </row>
    <row r="60" spans="2:13" ht="18" customHeight="1" x14ac:dyDescent="0.25">
      <c r="B60" s="59"/>
      <c r="C60" s="185" t="s">
        <v>429</v>
      </c>
      <c r="E60" s="153"/>
      <c r="F60" s="154"/>
      <c r="G60" s="190">
        <f>((+D47*(1+D48))/365*APRI!C55)/12*K46</f>
        <v>67.93150684931507</v>
      </c>
      <c r="H60" s="153"/>
      <c r="I60" s="155"/>
      <c r="J60" s="153"/>
      <c r="K60" s="155"/>
      <c r="L60" s="154"/>
      <c r="M60" s="155"/>
    </row>
    <row r="61" spans="2:13" ht="18" customHeight="1" x14ac:dyDescent="0.25">
      <c r="B61" s="59"/>
      <c r="C61" s="185" t="str">
        <f>+APRI!A152</f>
        <v>FORNITORI SERVIZI E DEBITI DIVERSI</v>
      </c>
      <c r="E61" s="190">
        <f>+F61</f>
        <v>63.623066666666666</v>
      </c>
      <c r="F61" s="190">
        <f>+APRI!C152</f>
        <v>63.623066666666666</v>
      </c>
      <c r="G61" s="190">
        <f>(E61+F61)/2</f>
        <v>63.623066666666666</v>
      </c>
      <c r="H61" s="190">
        <f>+APRI!E152</f>
        <v>66.912824159663856</v>
      </c>
      <c r="I61" s="190">
        <f>(+F61+H61)/2</f>
        <v>65.267945413165265</v>
      </c>
      <c r="J61" s="190">
        <f>+APRI!G152</f>
        <v>71.656553819537805</v>
      </c>
      <c r="K61" s="190">
        <f>(+H61+J61)/2</f>
        <v>69.284688989600824</v>
      </c>
      <c r="L61" s="190">
        <f>+APRI!I152</f>
        <v>76.595998304302015</v>
      </c>
      <c r="M61" s="190">
        <f>(+J61+L61)/2</f>
        <v>74.12627606191991</v>
      </c>
    </row>
    <row r="62" spans="2:13" ht="18" customHeight="1" x14ac:dyDescent="0.25">
      <c r="B62" s="59"/>
      <c r="C62" s="185" t="s">
        <v>430</v>
      </c>
      <c r="E62" s="153"/>
      <c r="F62" s="154"/>
      <c r="G62" s="190">
        <f>((APRI!E84/365*APRI!F84*30+APRI!E85/365*APRI!F85*30+APRI!E86/365*APRI!F86*30+APRI!E87/365*APRI!F87*30+APRI!E88/365*APRI!F88*30+APRI!E89/365*APRI!F89*30))/12*K46</f>
        <v>0</v>
      </c>
      <c r="H62" s="153"/>
      <c r="I62" s="155"/>
      <c r="J62" s="153"/>
      <c r="K62" s="155"/>
      <c r="L62" s="154"/>
      <c r="M62" s="155"/>
    </row>
    <row r="63" spans="2:13" ht="18" customHeight="1" x14ac:dyDescent="0.25">
      <c r="B63" s="59"/>
      <c r="C63" s="185" t="str">
        <f>+APRI!A153</f>
        <v>MUTUI E FINANZIAMENTI</v>
      </c>
      <c r="E63" s="190">
        <f>+D138</f>
        <v>0</v>
      </c>
      <c r="F63" s="190">
        <f>+APRI!C153</f>
        <v>0</v>
      </c>
      <c r="G63" s="190">
        <f t="shared" ref="G63:G68" si="5">(E63+F63)/2</f>
        <v>0</v>
      </c>
      <c r="H63" s="190">
        <f>+APRI!E153</f>
        <v>0</v>
      </c>
      <c r="I63" s="190">
        <f t="shared" ref="I63:I68" si="6">(+F63+H63)/2</f>
        <v>0</v>
      </c>
      <c r="J63" s="190">
        <f>+APRI!G153</f>
        <v>0</v>
      </c>
      <c r="K63" s="190">
        <f t="shared" ref="K63:K68" si="7">(+H63+J63)/2</f>
        <v>0</v>
      </c>
      <c r="L63" s="190">
        <f>+APRI!I153</f>
        <v>0</v>
      </c>
      <c r="M63" s="190">
        <f t="shared" ref="M63:M68" si="8">(+J63+L63)/2</f>
        <v>0</v>
      </c>
    </row>
    <row r="64" spans="2:13" ht="18" customHeight="1" x14ac:dyDescent="0.25">
      <c r="B64" s="59"/>
      <c r="C64" s="185" t="str">
        <f>+APRI!A154</f>
        <v>FDO AMMORTAMENTO</v>
      </c>
      <c r="E64" s="190">
        <v>0</v>
      </c>
      <c r="F64" s="190">
        <f>+APRI!C154</f>
        <v>27.947142857142858</v>
      </c>
      <c r="G64" s="190">
        <f t="shared" si="5"/>
        <v>13.973571428571429</v>
      </c>
      <c r="H64" s="190">
        <f>+APRI!E154</f>
        <v>55.894285714285715</v>
      </c>
      <c r="I64" s="190">
        <f t="shared" si="6"/>
        <v>41.920714285714283</v>
      </c>
      <c r="J64" s="190">
        <f>+APRI!G154</f>
        <v>83.841428571428565</v>
      </c>
      <c r="K64" s="190">
        <f t="shared" si="7"/>
        <v>69.867857142857133</v>
      </c>
      <c r="L64" s="190">
        <f>+APRI!I154</f>
        <v>111.78857142857143</v>
      </c>
      <c r="M64" s="190">
        <f t="shared" si="8"/>
        <v>97.814999999999998</v>
      </c>
    </row>
    <row r="65" spans="2:13" ht="18" customHeight="1" x14ac:dyDescent="0.25">
      <c r="B65" s="59"/>
      <c r="C65" s="185" t="str">
        <f>+APRI!A155</f>
        <v>ALTRI FONDI (TFR)</v>
      </c>
      <c r="E65" s="190">
        <v>0</v>
      </c>
      <c r="F65" s="190">
        <f>+APRI!C155</f>
        <v>26.21</v>
      </c>
      <c r="G65" s="190">
        <f t="shared" si="5"/>
        <v>13.105</v>
      </c>
      <c r="H65" s="190">
        <f>+APRI!E155</f>
        <v>53.993975994397758</v>
      </c>
      <c r="I65" s="190">
        <f t="shared" si="6"/>
        <v>40.101987997198876</v>
      </c>
      <c r="J65" s="190">
        <f>+APRI!G155</f>
        <v>84.378239113361346</v>
      </c>
      <c r="K65" s="190">
        <f t="shared" si="7"/>
        <v>69.186107553879552</v>
      </c>
      <c r="L65" s="190">
        <f>+APRI!I155</f>
        <v>115.75288194569546</v>
      </c>
      <c r="M65" s="190">
        <f t="shared" si="8"/>
        <v>100.0655605295284</v>
      </c>
    </row>
    <row r="66" spans="2:13" ht="18" customHeight="1" x14ac:dyDescent="0.25">
      <c r="B66" s="59"/>
      <c r="C66" s="185" t="str">
        <f>+APRI!A156</f>
        <v>CAPITALE NETTO</v>
      </c>
      <c r="E66" s="190">
        <f>+F66</f>
        <v>250</v>
      </c>
      <c r="F66" s="190">
        <f>+APRI!C156</f>
        <v>250</v>
      </c>
      <c r="G66" s="190">
        <f t="shared" si="5"/>
        <v>250</v>
      </c>
      <c r="H66" s="190">
        <f>+APRI!E156</f>
        <v>250</v>
      </c>
      <c r="I66" s="190">
        <f t="shared" si="6"/>
        <v>250</v>
      </c>
      <c r="J66" s="190">
        <f>+APRI!G156</f>
        <v>250</v>
      </c>
      <c r="K66" s="190">
        <f t="shared" si="7"/>
        <v>250</v>
      </c>
      <c r="L66" s="190">
        <f>+APRI!I156</f>
        <v>250</v>
      </c>
      <c r="M66" s="190">
        <f t="shared" si="8"/>
        <v>250</v>
      </c>
    </row>
    <row r="67" spans="2:13" ht="18" customHeight="1" x14ac:dyDescent="0.25">
      <c r="B67" s="59"/>
      <c r="C67" s="185" t="s">
        <v>314</v>
      </c>
      <c r="E67" s="190">
        <v>0</v>
      </c>
      <c r="F67" s="190">
        <f>+APRI!C138</f>
        <v>-155.49617143064813</v>
      </c>
      <c r="G67" s="190">
        <f t="shared" si="5"/>
        <v>-77.748085715324066</v>
      </c>
      <c r="H67" s="190">
        <f>+APRI!E138</f>
        <v>-40.725621346614275</v>
      </c>
      <c r="I67" s="190">
        <f t="shared" si="6"/>
        <v>-98.110896388631204</v>
      </c>
      <c r="J67" s="190">
        <f>+APRI!G138</f>
        <v>96.031604794898158</v>
      </c>
      <c r="K67" s="190">
        <f t="shared" si="7"/>
        <v>27.652991724141941</v>
      </c>
      <c r="L67" s="190">
        <f>+APRI!I138</f>
        <v>57.029335566409372</v>
      </c>
      <c r="M67" s="190">
        <f t="shared" si="8"/>
        <v>76.530470180653765</v>
      </c>
    </row>
    <row r="68" spans="2:13" ht="18" customHeight="1" x14ac:dyDescent="0.25">
      <c r="B68" s="59"/>
      <c r="C68" s="185" t="str">
        <f>+APRI!A158</f>
        <v>+UTILI  \ -PERDITE RIPORTATE A NUOVO</v>
      </c>
      <c r="E68" s="153"/>
      <c r="F68" s="190">
        <f>+APRI!C158</f>
        <v>0</v>
      </c>
      <c r="G68" s="190">
        <f t="shared" si="5"/>
        <v>0</v>
      </c>
      <c r="H68" s="190">
        <f>+APRI!E158</f>
        <v>-169.00254812068221</v>
      </c>
      <c r="I68" s="190">
        <f t="shared" si="6"/>
        <v>-84.501274060341103</v>
      </c>
      <c r="J68" s="190">
        <f>+APRI!G138</f>
        <v>96.031604794898158</v>
      </c>
      <c r="K68" s="190">
        <f t="shared" si="7"/>
        <v>-36.485471662892024</v>
      </c>
      <c r="L68" s="190">
        <f>+APRI!I138</f>
        <v>57.029335566409372</v>
      </c>
      <c r="M68" s="190">
        <f t="shared" si="8"/>
        <v>76.530470180653765</v>
      </c>
    </row>
    <row r="69" spans="2:13" ht="18" customHeight="1" x14ac:dyDescent="0.25">
      <c r="B69" s="59"/>
      <c r="C69" s="185" t="str">
        <f>+APRI!A159</f>
        <v>TOTALE FONTI</v>
      </c>
      <c r="D69" s="56"/>
      <c r="E69" s="190">
        <f t="shared" ref="E69:M69" si="9">SUM(E59:E68)</f>
        <v>682.56614524200927</v>
      </c>
      <c r="F69" s="190">
        <f t="shared" si="9"/>
        <v>581.22711666850398</v>
      </c>
      <c r="G69" s="190">
        <f t="shared" si="9"/>
        <v>699.82813780457172</v>
      </c>
      <c r="H69" s="190">
        <f t="shared" si="9"/>
        <v>616.90359067502345</v>
      </c>
      <c r="I69" s="190">
        <f t="shared" si="9"/>
        <v>599.06535367176377</v>
      </c>
      <c r="J69" s="190">
        <f t="shared" si="9"/>
        <v>1108.4824193133022</v>
      </c>
      <c r="K69" s="190">
        <f t="shared" si="9"/>
        <v>862.69300499416295</v>
      </c>
      <c r="L69" s="190">
        <f t="shared" si="9"/>
        <v>1107.1088576889219</v>
      </c>
      <c r="M69" s="190">
        <f t="shared" si="9"/>
        <v>1107.7956385011119</v>
      </c>
    </row>
    <row r="70" spans="2:13" ht="18" customHeight="1" x14ac:dyDescent="0.25">
      <c r="B70" s="59"/>
      <c r="C70" s="185" t="str">
        <f>+APRI!A160</f>
        <v>SALDO BANCA   (+ATTIVO \ - PASSIVO)</v>
      </c>
      <c r="D70" s="156"/>
      <c r="E70" s="190">
        <f t="shared" ref="E70:M70" si="10">+E69-E58</f>
        <v>113.89947857534253</v>
      </c>
      <c r="F70" s="190">
        <f t="shared" si="10"/>
        <v>-145.04060828433398</v>
      </c>
      <c r="G70" s="190">
        <f t="shared" si="10"/>
        <v>52.360941994819427</v>
      </c>
      <c r="H70" s="190">
        <f t="shared" si="10"/>
        <v>-59.382183987729832</v>
      </c>
      <c r="I70" s="190">
        <f t="shared" si="10"/>
        <v>-102.21139613603191</v>
      </c>
      <c r="J70" s="190">
        <f t="shared" si="10"/>
        <v>446.46097259018052</v>
      </c>
      <c r="K70" s="190">
        <f t="shared" si="10"/>
        <v>193.53939430122546</v>
      </c>
      <c r="L70" s="190">
        <f t="shared" si="10"/>
        <v>440.34677788549732</v>
      </c>
      <c r="M70" s="190">
        <f t="shared" si="10"/>
        <v>443.40387523783852</v>
      </c>
    </row>
    <row r="71" spans="2:13" ht="18" customHeight="1" x14ac:dyDescent="0.25">
      <c r="B71" s="59"/>
      <c r="E71" s="154"/>
      <c r="F71" s="154"/>
      <c r="G71" s="154"/>
      <c r="H71" s="154"/>
      <c r="I71" s="154"/>
      <c r="J71" s="154"/>
      <c r="K71" s="154"/>
      <c r="L71" s="154"/>
      <c r="M71" s="154"/>
    </row>
    <row r="72" spans="2:13" ht="18" customHeight="1" x14ac:dyDescent="0.25">
      <c r="B72" s="59"/>
      <c r="C72" s="185" t="s">
        <v>431</v>
      </c>
      <c r="D72" s="157"/>
      <c r="E72" s="158"/>
      <c r="F72" s="159"/>
      <c r="G72" s="190">
        <f>IF(G70&gt;0,(G70*APRI!C50)/12*CALCOLI!K46,0)</f>
        <v>0.34034612296632627</v>
      </c>
      <c r="H72" s="158"/>
      <c r="I72" s="190">
        <f>IF(I70&gt;0,(I70*APRI!D50),0)</f>
        <v>0</v>
      </c>
      <c r="J72" s="158"/>
      <c r="K72" s="190">
        <f>IF(K70&gt;0,(K70*APRI!E50),0)</f>
        <v>1.2580060629579655</v>
      </c>
      <c r="L72" s="158"/>
      <c r="M72" s="190">
        <f>IF(M70&gt;0,(M70*APRI!F50),0)</f>
        <v>2.8821251890459503</v>
      </c>
    </row>
    <row r="73" spans="2:13" ht="18" customHeight="1" x14ac:dyDescent="0.25">
      <c r="B73" s="59"/>
      <c r="C73" s="185" t="s">
        <v>432</v>
      </c>
      <c r="D73" s="160"/>
      <c r="E73" s="153"/>
      <c r="F73" s="154"/>
      <c r="G73" s="190">
        <f>IF(G70&lt;0,(G70*APRI!C49)/12*CALCOLI!K46,0)</f>
        <v>0</v>
      </c>
      <c r="H73" s="153"/>
      <c r="I73" s="190">
        <f>IF(I70&lt;0,(I70*APRI!D49))</f>
        <v>-4.4359745923037845</v>
      </c>
      <c r="J73" s="153"/>
      <c r="K73" s="190" t="b">
        <f>IF(K70&lt;0,(K70*APRI!E49))</f>
        <v>0</v>
      </c>
      <c r="L73" s="153"/>
      <c r="M73" s="190" t="b">
        <f>IF(M70&lt;0,(M70*APRI!F49))</f>
        <v>0</v>
      </c>
    </row>
    <row r="74" spans="2:13" ht="18" customHeight="1" x14ac:dyDescent="0.25">
      <c r="B74" s="59"/>
      <c r="C74" s="185" t="s">
        <v>433</v>
      </c>
      <c r="D74" s="160"/>
      <c r="E74" s="153"/>
      <c r="F74" s="154"/>
      <c r="G74" s="190">
        <f>-F142</f>
        <v>0</v>
      </c>
      <c r="H74" s="153"/>
      <c r="I74" s="190">
        <f>-F147</f>
        <v>0</v>
      </c>
      <c r="J74" s="153"/>
      <c r="K74" s="190">
        <f>-F152</f>
        <v>0</v>
      </c>
      <c r="L74" s="153"/>
      <c r="M74" s="190">
        <f>-L142</f>
        <v>0</v>
      </c>
    </row>
    <row r="75" spans="2:13" ht="18" customHeight="1" x14ac:dyDescent="0.25">
      <c r="B75" s="59"/>
      <c r="C75" s="182" t="s">
        <v>434</v>
      </c>
      <c r="D75" s="161"/>
      <c r="E75" s="162"/>
      <c r="F75" s="163"/>
      <c r="G75" s="191">
        <f>SUM(G72:G74)</f>
        <v>0.34034612296632627</v>
      </c>
      <c r="H75" s="162"/>
      <c r="I75" s="191">
        <f>SUM(I72:I74)</f>
        <v>-4.4359745923037845</v>
      </c>
      <c r="J75" s="162"/>
      <c r="K75" s="191">
        <f>SUM(K72:K74)</f>
        <v>1.2580060629579655</v>
      </c>
      <c r="L75" s="162"/>
      <c r="M75" s="191">
        <f>SUM(M72:M74)</f>
        <v>2.8821251890459503</v>
      </c>
    </row>
    <row r="76" spans="2:13" ht="18" customHeight="1" x14ac:dyDescent="0.25">
      <c r="B76" s="59"/>
      <c r="I76" s="59"/>
      <c r="J76" s="59"/>
      <c r="K76" s="59"/>
    </row>
    <row r="77" spans="2:13" ht="18" customHeight="1" x14ac:dyDescent="0.25">
      <c r="C77" s="164"/>
      <c r="D77" s="157"/>
      <c r="E77" s="346" t="s">
        <v>435</v>
      </c>
      <c r="F77" s="294"/>
      <c r="G77" s="346" t="s">
        <v>436</v>
      </c>
      <c r="H77" s="294"/>
      <c r="I77" s="346" t="s">
        <v>437</v>
      </c>
      <c r="J77" s="294"/>
      <c r="K77" s="346" t="s">
        <v>438</v>
      </c>
      <c r="L77" s="294"/>
    </row>
    <row r="78" spans="2:13" ht="18" customHeight="1" x14ac:dyDescent="0.25">
      <c r="C78" s="165"/>
      <c r="D78" s="166"/>
      <c r="E78" s="185" t="s">
        <v>439</v>
      </c>
      <c r="F78" s="185" t="s">
        <v>440</v>
      </c>
      <c r="G78" s="185" t="s">
        <v>439</v>
      </c>
      <c r="H78" s="185" t="s">
        <v>440</v>
      </c>
      <c r="I78" s="185" t="s">
        <v>439</v>
      </c>
      <c r="J78" s="185" t="s">
        <v>440</v>
      </c>
      <c r="K78" s="185" t="s">
        <v>439</v>
      </c>
      <c r="L78" s="185" t="s">
        <v>440</v>
      </c>
    </row>
    <row r="79" spans="2:13" ht="18" customHeight="1" x14ac:dyDescent="0.25">
      <c r="C79" s="185" t="str">
        <f>+APRI!A112</f>
        <v>IMMOBILE</v>
      </c>
      <c r="E79" s="185">
        <f>IF(APRI!$C$9&lt;12,(APRI!C112*APRI!D112)/2,APRI!C112*APRI!D112)</f>
        <v>0</v>
      </c>
      <c r="F79" s="185">
        <f>E79</f>
        <v>0</v>
      </c>
      <c r="G79" s="185">
        <f>IF(APRI!$C$112*APRI!$D$112+F79&gt;APRI!$C$112,APRI!$C$112-F79,APRI!$C$112*APRI!$D$112)</f>
        <v>0</v>
      </c>
      <c r="H79" s="185">
        <f>G79+F79</f>
        <v>0</v>
      </c>
      <c r="I79" s="185">
        <f>IF(APRI!$C$112*APRI!$D$112+H79&gt;APRI!$C$112,APRI!$C$112-H79,APRI!$C$112*APRI!$D$112)</f>
        <v>0</v>
      </c>
      <c r="J79" s="185">
        <f>I79+H79</f>
        <v>0</v>
      </c>
      <c r="K79" s="185">
        <f>IF(APRI!$C$112*APRI!$D$112+J79&gt;APRI!$C$112,APRI!$C$112-J79,APRI!$C$112*APRI!$D$112)</f>
        <v>0</v>
      </c>
      <c r="L79" s="185">
        <f>K79+J79</f>
        <v>0</v>
      </c>
    </row>
    <row r="80" spans="2:13" ht="18" customHeight="1" x14ac:dyDescent="0.25">
      <c r="C80" s="185" t="str">
        <f>+APRI!A113</f>
        <v>ATTREZZATURE</v>
      </c>
      <c r="E80" s="185">
        <f>IF(APRI!$C$9&lt;12,(APRI!C113*APRI!D113)/2,APRI!C113*APRI!D113)</f>
        <v>0</v>
      </c>
      <c r="F80" s="185">
        <f>E80</f>
        <v>0</v>
      </c>
      <c r="G80" s="185">
        <f>IF(APRI!$C$113*APRI!$D$113+F80&gt;APRI!$C$113,APRI!$C$113-F80,APRI!$C$113*APRI!$D$113)</f>
        <v>0</v>
      </c>
      <c r="H80" s="185">
        <f>G80+F80</f>
        <v>0</v>
      </c>
      <c r="I80" s="185">
        <f>IF(APRI!$C$113*APRI!$D$113+H80&gt;APRI!$C$113,APRI!$C$113-H80,APRI!$C$113*APRI!$D$113)</f>
        <v>0</v>
      </c>
      <c r="J80" s="185">
        <f>I80+H80</f>
        <v>0</v>
      </c>
      <c r="K80" s="185">
        <f>IF(APRI!$C$113*APRI!$D$113+J80&gt;APRI!$C$113,APRI!$C$113-J80,APRI!$C$113*APRI!$D$113)</f>
        <v>0</v>
      </c>
      <c r="L80" s="185">
        <f>K80+J80</f>
        <v>0</v>
      </c>
    </row>
    <row r="81" spans="2:13" ht="18" customHeight="1" x14ac:dyDescent="0.25">
      <c r="C81" s="185" t="str">
        <f>+APRI!A114</f>
        <v>IMPIANTI (termico / elettrico)</v>
      </c>
      <c r="E81" s="185">
        <f>IF(APRI!$C$9&lt;12,(APRI!C114*APRI!D114)/2,APRI!C114*APRI!D114)</f>
        <v>19.09</v>
      </c>
      <c r="F81" s="185">
        <f>E81</f>
        <v>19.09</v>
      </c>
      <c r="G81" s="185">
        <f>IF(APRI!$C$114*APRI!$D$114+F81&gt;APRI!$C$114,APRI!$C$114-F81,APRI!$C$114*APRI!$D$114)</f>
        <v>19.09</v>
      </c>
      <c r="H81" s="185">
        <f>G81+F81</f>
        <v>38.18</v>
      </c>
      <c r="I81" s="185">
        <f>IF(APRI!$C$114*APRI!$D$114+H81&gt;APRI!$C$114,APRI!$C$114-H81,APRI!$C$114*APRI!$D$114)</f>
        <v>19.09</v>
      </c>
      <c r="J81" s="185">
        <f>I81+H81</f>
        <v>57.269999999999996</v>
      </c>
      <c r="K81" s="185">
        <f>IF(APRI!$C$114*APRI!$D$114+J81&gt;APRI!$C$114,APRI!$C$114-J81,APRI!$C$114*APRI!$D$114)</f>
        <v>19.09</v>
      </c>
      <c r="L81" s="185">
        <f>K81+J81</f>
        <v>76.36</v>
      </c>
    </row>
    <row r="82" spans="2:13" ht="18" customHeight="1" x14ac:dyDescent="0.25">
      <c r="C82" s="185" t="str">
        <f>+APRI!A115</f>
        <v>AVVIAMENTO \ AZIENDA</v>
      </c>
      <c r="E82" s="185">
        <f>IF(APRI!$C$9&lt;12,(APRI!C115*APRI!D115)/2,APRI!C115*APRI!D115)</f>
        <v>0</v>
      </c>
      <c r="F82" s="185">
        <f>E82</f>
        <v>0</v>
      </c>
      <c r="G82" s="185">
        <f>IF(APRI!$C$115*APRI!$D$115+F82&gt;APRI!$C$115,APRI!$C$115-F82,APRI!$C$115*APRI!$D$115)</f>
        <v>0</v>
      </c>
      <c r="H82" s="185">
        <f>G82+F82</f>
        <v>0</v>
      </c>
      <c r="I82" s="185">
        <f>IF(APRI!$C$115*APRI!$D$115+H82&gt;APRI!$C$115,APRI!$C$115-H82,APRI!$C$115*APRI!$D$115)</f>
        <v>0</v>
      </c>
      <c r="J82" s="185">
        <f>I82+H82</f>
        <v>0</v>
      </c>
      <c r="K82" s="185">
        <f>IF(APRI!$C$115*APRI!$D$115+J82&gt;APRI!$C$115,APRI!$C$115-J82,APRI!$C$115*APRI!$D$115)</f>
        <v>0</v>
      </c>
      <c r="L82" s="185">
        <f>K82+J82</f>
        <v>0</v>
      </c>
    </row>
    <row r="83" spans="2:13" ht="18" customHeight="1" x14ac:dyDescent="0.25">
      <c r="C83" s="185" t="s">
        <v>441</v>
      </c>
      <c r="E83" s="185">
        <f>(APRI!F93/APRI!C93)/12*APRI!$C$9</f>
        <v>0</v>
      </c>
      <c r="F83" s="185">
        <f>+E83</f>
        <v>0</v>
      </c>
      <c r="G83" s="185">
        <f>+APRI!$F$93/APRI!$C$93</f>
        <v>0</v>
      </c>
      <c r="H83" s="185">
        <f>+F83+G83</f>
        <v>0</v>
      </c>
      <c r="I83" s="185">
        <f>+APRI!$F$93/APRI!$C$93</f>
        <v>0</v>
      </c>
      <c r="J83" s="185">
        <f>+H83+I83</f>
        <v>0</v>
      </c>
      <c r="K83" s="185">
        <f>+APRI!$F$93/APRI!$C$93</f>
        <v>0</v>
      </c>
      <c r="L83" s="185">
        <f>+J83+K83</f>
        <v>0</v>
      </c>
    </row>
    <row r="84" spans="2:13" ht="18" customHeight="1" x14ac:dyDescent="0.25">
      <c r="C84" s="185" t="s">
        <v>442</v>
      </c>
      <c r="E84" s="185">
        <f>(APRI!F94/APRI!C94)/12*APRI!$C$9</f>
        <v>8.8571428571428577</v>
      </c>
      <c r="F84" s="185">
        <f>+E84</f>
        <v>8.8571428571428577</v>
      </c>
      <c r="G84" s="185">
        <f>+APRI!$F$94/APRI!$C$94</f>
        <v>8.8571428571428577</v>
      </c>
      <c r="H84" s="185">
        <f>+F84+G84</f>
        <v>17.714285714285715</v>
      </c>
      <c r="I84" s="185">
        <f>+APRI!$F$94/APRI!$C$94</f>
        <v>8.8571428571428577</v>
      </c>
      <c r="J84" s="185">
        <f>+H84+I84</f>
        <v>26.571428571428573</v>
      </c>
      <c r="K84" s="185">
        <f>+APRI!$F$94/APRI!$C$94</f>
        <v>8.8571428571428577</v>
      </c>
      <c r="L84" s="185">
        <f>+J84+K84</f>
        <v>35.428571428571431</v>
      </c>
    </row>
    <row r="85" spans="2:13" ht="18" customHeight="1" x14ac:dyDescent="0.25">
      <c r="C85" s="185" t="s">
        <v>443</v>
      </c>
      <c r="D85" s="15"/>
      <c r="E85" s="185">
        <f>(APRI!F95/APRI!C95)/12*APRI!$C$9</f>
        <v>0</v>
      </c>
      <c r="F85" s="185">
        <f>+E85</f>
        <v>0</v>
      </c>
      <c r="G85" s="185">
        <f>+APRI!$F$95/APRI!$C$95</f>
        <v>0</v>
      </c>
      <c r="H85" s="185">
        <f>+F85+G85</f>
        <v>0</v>
      </c>
      <c r="I85" s="185">
        <f>+APRI!$F$95/APRI!$C$95</f>
        <v>0</v>
      </c>
      <c r="J85" s="185">
        <f>+H85+I85</f>
        <v>0</v>
      </c>
      <c r="K85" s="185">
        <f>+APRI!$F$95/APRI!$C$95</f>
        <v>0</v>
      </c>
      <c r="L85" s="185">
        <f>+J85+K85</f>
        <v>0</v>
      </c>
    </row>
    <row r="86" spans="2:13" ht="18" customHeight="1" x14ac:dyDescent="0.25">
      <c r="C86" s="167"/>
      <c r="D86" s="168"/>
      <c r="E86" s="185">
        <f t="shared" ref="E86:L86" si="11">SUM(E79:E85)</f>
        <v>27.947142857142858</v>
      </c>
      <c r="F86" s="185">
        <f t="shared" si="11"/>
        <v>27.947142857142858</v>
      </c>
      <c r="G86" s="185">
        <f t="shared" si="11"/>
        <v>27.947142857142858</v>
      </c>
      <c r="H86" s="185">
        <f t="shared" si="11"/>
        <v>55.894285714285715</v>
      </c>
      <c r="I86" s="185">
        <f t="shared" si="11"/>
        <v>27.947142857142858</v>
      </c>
      <c r="J86" s="185">
        <f t="shared" si="11"/>
        <v>83.841428571428565</v>
      </c>
      <c r="K86" s="185">
        <f t="shared" si="11"/>
        <v>27.947142857142858</v>
      </c>
      <c r="L86" s="185">
        <f t="shared" si="11"/>
        <v>111.78857142857143</v>
      </c>
    </row>
    <row r="87" spans="2:13" ht="18" customHeight="1" x14ac:dyDescent="0.25"/>
    <row r="88" spans="2:13" ht="18" customHeight="1" x14ac:dyDescent="0.25">
      <c r="C88" s="344" t="s">
        <v>444</v>
      </c>
      <c r="D88" s="293"/>
      <c r="E88" s="293"/>
      <c r="F88" s="293"/>
      <c r="G88" s="294"/>
      <c r="I88" s="344" t="s">
        <v>445</v>
      </c>
      <c r="J88" s="293"/>
      <c r="K88" s="293"/>
      <c r="L88" s="293"/>
      <c r="M88" s="294"/>
    </row>
    <row r="89" spans="2:13" ht="18" customHeight="1" x14ac:dyDescent="0.25">
      <c r="C89" s="182" t="s">
        <v>446</v>
      </c>
      <c r="D89" s="53"/>
      <c r="E89" s="182">
        <f>APRI!B97</f>
        <v>0</v>
      </c>
      <c r="F89" s="182" t="s">
        <v>447</v>
      </c>
      <c r="G89" s="117"/>
      <c r="I89" s="182" t="s">
        <v>446</v>
      </c>
      <c r="J89" s="53"/>
      <c r="K89" s="182">
        <f>APRI!B98</f>
        <v>0</v>
      </c>
      <c r="L89" s="182" t="s">
        <v>447</v>
      </c>
      <c r="M89" s="117"/>
    </row>
    <row r="90" spans="2:13" ht="18" customHeight="1" x14ac:dyDescent="0.25">
      <c r="C90" s="185" t="s">
        <v>448</v>
      </c>
      <c r="D90" s="81"/>
      <c r="E90" s="185">
        <f>APRI!C97</f>
        <v>4</v>
      </c>
      <c r="F90" s="185" t="s">
        <v>449</v>
      </c>
      <c r="G90" s="185">
        <f>+G92*(12/E91)</f>
        <v>0</v>
      </c>
      <c r="I90" s="185" t="s">
        <v>448</v>
      </c>
      <c r="J90" s="81"/>
      <c r="K90" s="185">
        <f>APRI!C98</f>
        <v>5</v>
      </c>
      <c r="L90" s="185" t="s">
        <v>449</v>
      </c>
      <c r="M90" s="185">
        <f>+M92*(12/K91)</f>
        <v>0</v>
      </c>
    </row>
    <row r="91" spans="2:13" ht="18" customHeight="1" x14ac:dyDescent="0.25">
      <c r="C91" s="182" t="s">
        <v>450</v>
      </c>
      <c r="D91" s="15"/>
      <c r="E91" s="182">
        <v>3</v>
      </c>
      <c r="F91" s="182" t="s">
        <v>451</v>
      </c>
      <c r="G91" s="182">
        <f>+E90*(12/E91)</f>
        <v>16</v>
      </c>
      <c r="I91" s="182" t="s">
        <v>450</v>
      </c>
      <c r="J91" s="15"/>
      <c r="K91" s="182">
        <v>3</v>
      </c>
      <c r="L91" s="182" t="s">
        <v>451</v>
      </c>
      <c r="M91" s="182">
        <f>+K90*(12/K91)</f>
        <v>20</v>
      </c>
    </row>
    <row r="92" spans="2:13" ht="18" customHeight="1" x14ac:dyDescent="0.25">
      <c r="C92" s="185" t="s">
        <v>452</v>
      </c>
      <c r="D92" s="53"/>
      <c r="E92" s="194">
        <f>APRI!D97</f>
        <v>4.3400000000000001E-2</v>
      </c>
      <c r="F92" s="185" t="s">
        <v>453</v>
      </c>
      <c r="G92" s="185">
        <f>IF(E89&gt;0,PMT(E92/(12/E91),G91,-E89),0)</f>
        <v>0</v>
      </c>
      <c r="I92" s="185" t="s">
        <v>452</v>
      </c>
      <c r="J92" s="53"/>
      <c r="K92" s="194">
        <f>APRI!D98</f>
        <v>4.3400000000000001E-2</v>
      </c>
      <c r="L92" s="185" t="s">
        <v>453</v>
      </c>
      <c r="M92" s="185">
        <f>IF(K89&gt;0,PMT(K92/(12/K91),M91,-K89),0)</f>
        <v>0</v>
      </c>
    </row>
    <row r="93" spans="2:13" ht="18" customHeight="1" x14ac:dyDescent="0.25">
      <c r="C93" s="185" t="s">
        <v>454</v>
      </c>
      <c r="D93" s="185" t="s">
        <v>446</v>
      </c>
      <c r="E93" s="185" t="s">
        <v>455</v>
      </c>
      <c r="F93" s="169"/>
      <c r="G93" s="185" t="s">
        <v>456</v>
      </c>
      <c r="I93" s="185" t="s">
        <v>454</v>
      </c>
      <c r="J93" s="185" t="s">
        <v>446</v>
      </c>
      <c r="K93" s="185" t="s">
        <v>455</v>
      </c>
      <c r="L93" s="169"/>
      <c r="M93" s="185" t="s">
        <v>456</v>
      </c>
    </row>
    <row r="94" spans="2:13" ht="18" customHeight="1" x14ac:dyDescent="0.25">
      <c r="C94" s="185" t="s">
        <v>457</v>
      </c>
      <c r="D94" s="185" t="s">
        <v>458</v>
      </c>
      <c r="E94" s="185" t="s">
        <v>446</v>
      </c>
      <c r="F94" s="185" t="s">
        <v>459</v>
      </c>
      <c r="G94" s="185" t="s">
        <v>384</v>
      </c>
      <c r="I94" s="185" t="s">
        <v>457</v>
      </c>
      <c r="J94" s="185" t="s">
        <v>458</v>
      </c>
      <c r="K94" s="185" t="s">
        <v>446</v>
      </c>
      <c r="L94" s="185" t="s">
        <v>459</v>
      </c>
      <c r="M94" s="185" t="s">
        <v>384</v>
      </c>
    </row>
    <row r="95" spans="2:13" ht="18" customHeight="1" x14ac:dyDescent="0.25">
      <c r="B95" s="185">
        <f>IF(APRI!$C$9=12,1,0)</f>
        <v>1</v>
      </c>
      <c r="C95" s="185">
        <v>1</v>
      </c>
      <c r="D95" s="185">
        <f>+E89</f>
        <v>0</v>
      </c>
      <c r="E95" s="185">
        <f>IF(B95=0,0,+$G$92-F95)</f>
        <v>0</v>
      </c>
      <c r="F95" s="185">
        <f>IF(B95=0,0,+D95*$E$92/12*$E$91)</f>
        <v>0</v>
      </c>
      <c r="G95" s="185">
        <f>IF(D95&gt;1,D95-E95,0)</f>
        <v>0</v>
      </c>
      <c r="H95" s="185">
        <f>IF(APRI!$C$9=12,1,0)</f>
        <v>1</v>
      </c>
      <c r="I95" s="185">
        <v>1</v>
      </c>
      <c r="J95" s="185">
        <f>+K89</f>
        <v>0</v>
      </c>
      <c r="K95" s="185">
        <f>IF(H95=0,0,+$M$92-L95)</f>
        <v>0</v>
      </c>
      <c r="L95" s="185">
        <f>IF(H95=0,0,+J95*$K$92/12*$K$91)</f>
        <v>0</v>
      </c>
      <c r="M95" s="185">
        <f>IF(J95&gt;1,J95-K95,0)</f>
        <v>0</v>
      </c>
    </row>
    <row r="96" spans="2:13" ht="18" customHeight="1" x14ac:dyDescent="0.25">
      <c r="B96" s="185">
        <f>IF(APRI!$C$9&gt;=9,1,0)</f>
        <v>1</v>
      </c>
      <c r="C96" s="185">
        <f>+C95+1</f>
        <v>2</v>
      </c>
      <c r="D96" s="185">
        <f>+G95</f>
        <v>0</v>
      </c>
      <c r="E96" s="185">
        <f>IF(B96=0,0,+$G$92-F96)</f>
        <v>0</v>
      </c>
      <c r="F96" s="185">
        <f>IF(B96=0,0,+D96*$E$92/12*$E$91)</f>
        <v>0</v>
      </c>
      <c r="G96" s="185">
        <f>IF(D96&gt;1,D96-E96,0)</f>
        <v>0</v>
      </c>
      <c r="H96" s="185">
        <f>IF(APRI!$C$9&gt;=9,1,0)</f>
        <v>1</v>
      </c>
      <c r="I96" s="185">
        <f>+I95+1</f>
        <v>2</v>
      </c>
      <c r="J96" s="185">
        <f>+M95</f>
        <v>0</v>
      </c>
      <c r="K96" s="185">
        <f>IF(H96=0,0,+$M$92-L96)</f>
        <v>0</v>
      </c>
      <c r="L96" s="185">
        <f>IF(H96=0,0,+J96*$K$92/12*$K$91)</f>
        <v>0</v>
      </c>
      <c r="M96" s="185">
        <f>IF(J96&gt;1,J96-K96,0)</f>
        <v>0</v>
      </c>
    </row>
    <row r="97" spans="2:13" ht="18" customHeight="1" x14ac:dyDescent="0.25">
      <c r="B97" s="185">
        <f>IF(APRI!$C$9&gt;=6,1,0)</f>
        <v>1</v>
      </c>
      <c r="C97" s="185">
        <f>+C96+1</f>
        <v>3</v>
      </c>
      <c r="D97" s="185">
        <f>+G96</f>
        <v>0</v>
      </c>
      <c r="E97" s="185">
        <f>IF(B97=0,0,+$G$92-F97)</f>
        <v>0</v>
      </c>
      <c r="F97" s="185">
        <f>+D97*$E$92/12*$E$91</f>
        <v>0</v>
      </c>
      <c r="G97" s="185">
        <f>IF(D97&gt;1,D97-E97,0)</f>
        <v>0</v>
      </c>
      <c r="H97" s="185">
        <f>IF(APRI!$C$9&gt;=6,1,0)</f>
        <v>1</v>
      </c>
      <c r="I97" s="185">
        <f>+I96+1</f>
        <v>3</v>
      </c>
      <c r="J97" s="185">
        <f>+M96</f>
        <v>0</v>
      </c>
      <c r="K97" s="185">
        <f>IF(H97=0,0,+$M$92-L97)</f>
        <v>0</v>
      </c>
      <c r="L97" s="185">
        <f>IF(H97=0,0,+J97*$K$92/12*$K$91)</f>
        <v>0</v>
      </c>
      <c r="M97" s="185">
        <f>IF(J97&gt;1,J97-K97,0)</f>
        <v>0</v>
      </c>
    </row>
    <row r="98" spans="2:13" ht="18" customHeight="1" x14ac:dyDescent="0.25">
      <c r="B98" s="185">
        <f>IF(APRI!$C$9&gt;=3,1,0)</f>
        <v>1</v>
      </c>
      <c r="C98" s="185">
        <f>+C97+1</f>
        <v>4</v>
      </c>
      <c r="D98" s="185">
        <f>+G97</f>
        <v>0</v>
      </c>
      <c r="E98" s="185">
        <f>+$G$92-F98</f>
        <v>0</v>
      </c>
      <c r="F98" s="185">
        <f>+D98*$E$92/12*$E$91</f>
        <v>0</v>
      </c>
      <c r="G98" s="185">
        <f>IF(D98&gt;1,D98-E98,0)</f>
        <v>0</v>
      </c>
      <c r="H98" s="185">
        <f>IF(APRI!$C$9&gt;=3,1,0)</f>
        <v>1</v>
      </c>
      <c r="I98" s="185">
        <f>+I97+1</f>
        <v>4</v>
      </c>
      <c r="J98" s="185">
        <f>+M97</f>
        <v>0</v>
      </c>
      <c r="K98" s="185">
        <f>IF(H98=0,0,+$M$92-L98)</f>
        <v>0</v>
      </c>
      <c r="L98" s="185">
        <f>IF(H98=0,0,+J98*$K$92/12*$K$91)</f>
        <v>0</v>
      </c>
      <c r="M98" s="185">
        <f>IF(J98&gt;1,J98-K98,0)</f>
        <v>0</v>
      </c>
    </row>
    <row r="99" spans="2:13" ht="18" customHeight="1" x14ac:dyDescent="0.25">
      <c r="C99" s="182" t="s">
        <v>460</v>
      </c>
      <c r="D99" s="183">
        <v>1</v>
      </c>
      <c r="E99" s="182">
        <f>SUM(E95:E98)</f>
        <v>0</v>
      </c>
      <c r="F99" s="182">
        <f>SUM(F95:F98)</f>
        <v>0</v>
      </c>
      <c r="G99" s="182">
        <f>+G98</f>
        <v>0</v>
      </c>
      <c r="I99" s="182" t="s">
        <v>460</v>
      </c>
      <c r="J99" s="183">
        <v>1</v>
      </c>
      <c r="K99" s="182">
        <f>SUM(K95:K98)</f>
        <v>0</v>
      </c>
      <c r="L99" s="182">
        <f>SUM(L95:L98)</f>
        <v>0</v>
      </c>
      <c r="M99" s="182">
        <f>+M98</f>
        <v>0</v>
      </c>
    </row>
    <row r="100" spans="2:13" ht="18" customHeight="1" x14ac:dyDescent="0.25">
      <c r="C100" s="185">
        <f>+C98+1</f>
        <v>5</v>
      </c>
      <c r="D100" s="185">
        <f>+G98</f>
        <v>0</v>
      </c>
      <c r="E100" s="185">
        <f>IF(D100&gt;0,+$G$92-F100,0)</f>
        <v>0</v>
      </c>
      <c r="F100" s="185">
        <f>+D100*$E$92/12*$E$91</f>
        <v>0</v>
      </c>
      <c r="G100" s="185">
        <f>IF(D100&gt;1,D100-E100,0)</f>
        <v>0</v>
      </c>
      <c r="I100" s="185">
        <f>+I98+1</f>
        <v>5</v>
      </c>
      <c r="J100" s="185">
        <f>+M98</f>
        <v>0</v>
      </c>
      <c r="K100" s="185">
        <f>IF(J100&gt;0,+$M$92-L100,0)</f>
        <v>0</v>
      </c>
      <c r="L100" s="185">
        <f>+J100*$K$92/12*$K$91</f>
        <v>0</v>
      </c>
      <c r="M100" s="185">
        <f>IF(J100&gt;1,J100-K100,0)</f>
        <v>0</v>
      </c>
    </row>
    <row r="101" spans="2:13" ht="18" customHeight="1" x14ac:dyDescent="0.25">
      <c r="C101" s="185">
        <f>+C100+1</f>
        <v>6</v>
      </c>
      <c r="D101" s="185">
        <f>+G100</f>
        <v>0</v>
      </c>
      <c r="E101" s="185">
        <f>IF(D101&gt;0,+$G$92-F101,0)</f>
        <v>0</v>
      </c>
      <c r="F101" s="185">
        <f>+D101*$E$92/12*$E$91</f>
        <v>0</v>
      </c>
      <c r="G101" s="185">
        <f>IF(D101&gt;1,D101-E101,0)</f>
        <v>0</v>
      </c>
      <c r="I101" s="185">
        <f>+I100+1</f>
        <v>6</v>
      </c>
      <c r="J101" s="185">
        <f>+M100</f>
        <v>0</v>
      </c>
      <c r="K101" s="185">
        <f>IF(J101&gt;0,+$M$92-L101,0)</f>
        <v>0</v>
      </c>
      <c r="L101" s="185">
        <f>+J101*$K$92/12*$K$91</f>
        <v>0</v>
      </c>
      <c r="M101" s="185">
        <f>IF(J101&gt;1,J101-K101,0)</f>
        <v>0</v>
      </c>
    </row>
    <row r="102" spans="2:13" ht="18" customHeight="1" x14ac:dyDescent="0.25">
      <c r="C102" s="185">
        <v>7</v>
      </c>
      <c r="D102" s="185">
        <f>+G101</f>
        <v>0</v>
      </c>
      <c r="E102" s="185">
        <f>IF(D102&gt;0,+$G$92-F102,0)</f>
        <v>0</v>
      </c>
      <c r="F102" s="185">
        <f>+D102*$E$92/12*$E$91</f>
        <v>0</v>
      </c>
      <c r="G102" s="185">
        <f>IF(D102&gt;1,D102-E102,0)</f>
        <v>0</v>
      </c>
      <c r="I102" s="185">
        <v>7</v>
      </c>
      <c r="J102" s="185">
        <f>+M101</f>
        <v>0</v>
      </c>
      <c r="K102" s="185">
        <f>IF(J102&gt;0,+$M$92-L102,0)</f>
        <v>0</v>
      </c>
      <c r="L102" s="185">
        <f>+J102*$K$92/12*$K$91</f>
        <v>0</v>
      </c>
      <c r="M102" s="185">
        <f>IF(J102&gt;1,J102-K102,0)</f>
        <v>0</v>
      </c>
    </row>
    <row r="103" spans="2:13" ht="18" customHeight="1" x14ac:dyDescent="0.25">
      <c r="C103" s="185">
        <v>8</v>
      </c>
      <c r="D103" s="185">
        <f>+G102</f>
        <v>0</v>
      </c>
      <c r="E103" s="185">
        <f>IF(D103&gt;0,+$G$92-F103,0)</f>
        <v>0</v>
      </c>
      <c r="F103" s="185">
        <f>+D103*$E$92/12*$E$91</f>
        <v>0</v>
      </c>
      <c r="G103" s="185">
        <f>IF(D103&gt;1,D103-E103,0)</f>
        <v>0</v>
      </c>
      <c r="I103" s="185">
        <v>8</v>
      </c>
      <c r="J103" s="185">
        <f>+M102</f>
        <v>0</v>
      </c>
      <c r="K103" s="185">
        <f>IF(J103&gt;0,+$M$92-L103,0)</f>
        <v>0</v>
      </c>
      <c r="L103" s="185">
        <f>+J103*$K$92/12*$K$91</f>
        <v>0</v>
      </c>
      <c r="M103" s="185">
        <f>IF(J103&gt;1,J103-K103,0)</f>
        <v>0</v>
      </c>
    </row>
    <row r="104" spans="2:13" ht="18" customHeight="1" x14ac:dyDescent="0.25">
      <c r="C104" s="182" t="s">
        <v>460</v>
      </c>
      <c r="D104" s="183">
        <v>2</v>
      </c>
      <c r="E104" s="182">
        <f>SUM(E100:E103)</f>
        <v>0</v>
      </c>
      <c r="F104" s="182">
        <f>SUM(F100:F103)</f>
        <v>0</v>
      </c>
      <c r="G104" s="182">
        <f>+G103</f>
        <v>0</v>
      </c>
      <c r="I104" s="182" t="s">
        <v>460</v>
      </c>
      <c r="J104" s="183">
        <v>2</v>
      </c>
      <c r="K104" s="182">
        <f>SUM(K100:K103)</f>
        <v>0</v>
      </c>
      <c r="L104" s="182">
        <f>SUM(L100:L103)</f>
        <v>0</v>
      </c>
      <c r="M104" s="182">
        <f>+M103</f>
        <v>0</v>
      </c>
    </row>
    <row r="105" spans="2:13" ht="18" customHeight="1" x14ac:dyDescent="0.25">
      <c r="C105" s="185">
        <v>9</v>
      </c>
      <c r="D105" s="185">
        <f>+G103</f>
        <v>0</v>
      </c>
      <c r="E105" s="185">
        <f>IF(D105&gt;0,+$G$92-F105,0)</f>
        <v>0</v>
      </c>
      <c r="F105" s="185">
        <f>+D105*$E$92/12*$E$91</f>
        <v>0</v>
      </c>
      <c r="G105" s="185">
        <f>IF(D105&gt;1,D105-E105,0)</f>
        <v>0</v>
      </c>
      <c r="I105" s="185">
        <v>9</v>
      </c>
      <c r="J105" s="185">
        <f>+M103</f>
        <v>0</v>
      </c>
      <c r="K105" s="185">
        <f>IF(J105&gt;0,+$M$92-L105,0)</f>
        <v>0</v>
      </c>
      <c r="L105" s="185">
        <f>+J105*$K$92/12*$K$91</f>
        <v>0</v>
      </c>
      <c r="M105" s="185">
        <f>IF(J105&gt;1,J105-K105,0)</f>
        <v>0</v>
      </c>
    </row>
    <row r="106" spans="2:13" ht="18" customHeight="1" x14ac:dyDescent="0.25">
      <c r="C106" s="185">
        <v>10</v>
      </c>
      <c r="D106" s="185">
        <f>+G105</f>
        <v>0</v>
      </c>
      <c r="E106" s="185">
        <f>IF(D106&gt;0,+$G$92-F106,0)</f>
        <v>0</v>
      </c>
      <c r="F106" s="185">
        <f>+D106*$E$92/12*$E$91</f>
        <v>0</v>
      </c>
      <c r="G106" s="185">
        <f>IF(D106&gt;1,D106-E106,0)</f>
        <v>0</v>
      </c>
      <c r="I106" s="185">
        <v>10</v>
      </c>
      <c r="J106" s="185">
        <f>+M105</f>
        <v>0</v>
      </c>
      <c r="K106" s="185">
        <f>IF(J106&gt;0,+$M$92-L106,0)</f>
        <v>0</v>
      </c>
      <c r="L106" s="185">
        <f>+J106*$K$92/12*$K$91</f>
        <v>0</v>
      </c>
      <c r="M106" s="185">
        <f>IF(J106&gt;1,J106-K106,0)</f>
        <v>0</v>
      </c>
    </row>
    <row r="107" spans="2:13" ht="18" customHeight="1" x14ac:dyDescent="0.25">
      <c r="C107" s="185">
        <v>11</v>
      </c>
      <c r="D107" s="185">
        <f>+G106</f>
        <v>0</v>
      </c>
      <c r="E107" s="185">
        <f>IF(D107&gt;0,+$G$92-F107,0)</f>
        <v>0</v>
      </c>
      <c r="F107" s="185">
        <f>+D107*$E$92/12*$E$91</f>
        <v>0</v>
      </c>
      <c r="G107" s="185">
        <f>IF(D107&gt;1,D107-E107,0)</f>
        <v>0</v>
      </c>
      <c r="I107" s="185">
        <v>11</v>
      </c>
      <c r="J107" s="185">
        <f>+M106</f>
        <v>0</v>
      </c>
      <c r="K107" s="185">
        <f>IF(J107&gt;0,+$M$92-L107,0)</f>
        <v>0</v>
      </c>
      <c r="L107" s="185">
        <f>+J107*$K$92/12*$K$91</f>
        <v>0</v>
      </c>
      <c r="M107" s="185">
        <f>IF(J107&gt;1,J107-K107,0)</f>
        <v>0</v>
      </c>
    </row>
    <row r="108" spans="2:13" ht="18" customHeight="1" x14ac:dyDescent="0.25">
      <c r="C108" s="185">
        <v>12</v>
      </c>
      <c r="D108" s="185">
        <f>+G107</f>
        <v>0</v>
      </c>
      <c r="E108" s="185">
        <f>IF(D108&gt;0,+$G$92-F108,0)</f>
        <v>0</v>
      </c>
      <c r="F108" s="185">
        <f>+D108*$E$92/12*$E$91</f>
        <v>0</v>
      </c>
      <c r="G108" s="185">
        <f>IF(D108&gt;1,D108-E108,0)</f>
        <v>0</v>
      </c>
      <c r="I108" s="185">
        <v>12</v>
      </c>
      <c r="J108" s="185">
        <f>+M107</f>
        <v>0</v>
      </c>
      <c r="K108" s="185">
        <f>IF(J108&gt;0,+$M$92-L108,0)</f>
        <v>0</v>
      </c>
      <c r="L108" s="185">
        <f>+J108*$K$92/12*$K$91</f>
        <v>0</v>
      </c>
      <c r="M108" s="185">
        <f>IF(J108&gt;1,J108-K108,0)</f>
        <v>0</v>
      </c>
    </row>
    <row r="109" spans="2:13" ht="18" customHeight="1" x14ac:dyDescent="0.25">
      <c r="C109" s="182" t="s">
        <v>460</v>
      </c>
      <c r="D109" s="183">
        <v>3</v>
      </c>
      <c r="E109" s="182">
        <f>SUM(E105:E108)</f>
        <v>0</v>
      </c>
      <c r="F109" s="182">
        <f>SUM(F105:F108)</f>
        <v>0</v>
      </c>
      <c r="G109" s="182">
        <f>+G108</f>
        <v>0</v>
      </c>
      <c r="I109" s="182" t="s">
        <v>460</v>
      </c>
      <c r="J109" s="183">
        <v>3</v>
      </c>
      <c r="K109" s="182">
        <f>SUM(K105:K108)</f>
        <v>0</v>
      </c>
      <c r="L109" s="182">
        <f>SUM(L105:L108)</f>
        <v>0</v>
      </c>
      <c r="M109" s="182">
        <f>+M108</f>
        <v>0</v>
      </c>
    </row>
    <row r="110" spans="2:13" ht="18" customHeight="1" x14ac:dyDescent="0.25">
      <c r="C110" s="185">
        <v>13</v>
      </c>
      <c r="D110" s="185">
        <f>+G108</f>
        <v>0</v>
      </c>
      <c r="E110" s="185">
        <f>IF(D110&gt;0,+$G$92-F110,0)</f>
        <v>0</v>
      </c>
      <c r="F110" s="185">
        <f>+D110*$E$92/12*$E$91</f>
        <v>0</v>
      </c>
      <c r="G110" s="185">
        <f>IF(D110&gt;1,D110-E110,0)</f>
        <v>0</v>
      </c>
      <c r="I110" s="185">
        <v>13</v>
      </c>
      <c r="J110" s="185">
        <f>+M108</f>
        <v>0</v>
      </c>
      <c r="K110" s="185">
        <f>IF(J110&gt;0,+$M$92-L110,0)</f>
        <v>0</v>
      </c>
      <c r="L110" s="185">
        <f>+J110*$K$92/12*$K$91</f>
        <v>0</v>
      </c>
      <c r="M110" s="185">
        <f>IF(J110&gt;1,J110-K110,0)</f>
        <v>0</v>
      </c>
    </row>
    <row r="111" spans="2:13" ht="18" customHeight="1" x14ac:dyDescent="0.25">
      <c r="C111" s="185">
        <v>14</v>
      </c>
      <c r="D111" s="185">
        <f>+G110</f>
        <v>0</v>
      </c>
      <c r="E111" s="185">
        <f>IF(D111&gt;0,+$G$92-F111,0)</f>
        <v>0</v>
      </c>
      <c r="F111" s="185">
        <f>+D111*$E$92/12*$E$91</f>
        <v>0</v>
      </c>
      <c r="G111" s="185">
        <f>IF(D111&gt;1,D111-E111,0)</f>
        <v>0</v>
      </c>
      <c r="I111" s="185">
        <v>14</v>
      </c>
      <c r="J111" s="185">
        <f>+M110</f>
        <v>0</v>
      </c>
      <c r="K111" s="185">
        <f>IF(J111&gt;0,+$M$92-L111,0)</f>
        <v>0</v>
      </c>
      <c r="L111" s="185">
        <f>+J111*$K$92/12*$K$91</f>
        <v>0</v>
      </c>
      <c r="M111" s="185">
        <f>IF(J111&gt;1,J111-K111,0)</f>
        <v>0</v>
      </c>
    </row>
    <row r="112" spans="2:13" ht="18" customHeight="1" x14ac:dyDescent="0.25">
      <c r="C112" s="185">
        <v>15</v>
      </c>
      <c r="D112" s="185">
        <f>+G111</f>
        <v>0</v>
      </c>
      <c r="E112" s="185">
        <f>IF(D112&gt;0,+$G$92-F112,0)</f>
        <v>0</v>
      </c>
      <c r="F112" s="185">
        <f>+D112*$E$92/12*$E$91</f>
        <v>0</v>
      </c>
      <c r="G112" s="185">
        <f>IF(D112&gt;1,D112-E112,0)</f>
        <v>0</v>
      </c>
      <c r="I112" s="185">
        <v>15</v>
      </c>
      <c r="J112" s="185">
        <f>+M111</f>
        <v>0</v>
      </c>
      <c r="K112" s="185">
        <f>IF(J112&gt;0,+$M$92-L112,0)</f>
        <v>0</v>
      </c>
      <c r="L112" s="185">
        <f>+J112*$K$92/12*$K$91</f>
        <v>0</v>
      </c>
      <c r="M112" s="185">
        <f>IF(J112&gt;1,J112-K112,0)</f>
        <v>0</v>
      </c>
    </row>
    <row r="113" spans="3:13" ht="18" customHeight="1" x14ac:dyDescent="0.25">
      <c r="C113" s="185">
        <v>16</v>
      </c>
      <c r="D113" s="185">
        <f>+G112</f>
        <v>0</v>
      </c>
      <c r="E113" s="185">
        <f>IF(D113&gt;0,+$G$92-F113,0)</f>
        <v>0</v>
      </c>
      <c r="F113" s="185">
        <f>+D113*$E$92/12*$E$91</f>
        <v>0</v>
      </c>
      <c r="G113" s="185">
        <f>IF(D113&gt;1,D113-E113,0)</f>
        <v>0</v>
      </c>
      <c r="I113" s="185">
        <v>16</v>
      </c>
      <c r="J113" s="185">
        <f>+M112</f>
        <v>0</v>
      </c>
      <c r="K113" s="185">
        <f>IF(J113&gt;0,+$M$92-L113,0)</f>
        <v>0</v>
      </c>
      <c r="L113" s="185">
        <f>+J113*$K$92/12*$K$91</f>
        <v>0</v>
      </c>
      <c r="M113" s="185">
        <f>IF(J113&gt;1,J113-K113,0)</f>
        <v>0</v>
      </c>
    </row>
    <row r="114" spans="3:13" ht="18" customHeight="1" x14ac:dyDescent="0.25">
      <c r="C114" s="182" t="s">
        <v>460</v>
      </c>
      <c r="D114" s="183">
        <v>4</v>
      </c>
      <c r="E114" s="182">
        <f>SUM(E110:E113)</f>
        <v>0</v>
      </c>
      <c r="F114" s="182">
        <f>SUM(F110:F113)</f>
        <v>0</v>
      </c>
      <c r="G114" s="182">
        <f>+G113</f>
        <v>0</v>
      </c>
      <c r="I114" s="182" t="s">
        <v>460</v>
      </c>
      <c r="J114" s="183">
        <v>4</v>
      </c>
      <c r="K114" s="182">
        <f>SUM(K110:K113)</f>
        <v>0</v>
      </c>
      <c r="L114" s="182">
        <f>SUM(L110:L113)</f>
        <v>0</v>
      </c>
      <c r="M114" s="182">
        <f>+M113</f>
        <v>0</v>
      </c>
    </row>
    <row r="115" spans="3:13" ht="18" customHeight="1" x14ac:dyDescent="0.25">
      <c r="C115" s="185">
        <v>17</v>
      </c>
      <c r="D115" s="185">
        <f>+G113</f>
        <v>0</v>
      </c>
      <c r="E115" s="185">
        <f>IF(D115&gt;0,+$G$92-F115,0)</f>
        <v>0</v>
      </c>
      <c r="F115" s="185">
        <f>+D115*$E$92/12*$E$91</f>
        <v>0</v>
      </c>
      <c r="G115" s="185">
        <f>IF(D115&gt;1,D115-E115,0)</f>
        <v>0</v>
      </c>
      <c r="I115" s="185">
        <v>17</v>
      </c>
      <c r="J115" s="185">
        <f>+M113</f>
        <v>0</v>
      </c>
      <c r="K115" s="185">
        <f>IF(J115&gt;0,+$M$92-L115,0)</f>
        <v>0</v>
      </c>
      <c r="L115" s="185">
        <f>+J115*$K$92/12*$K$91</f>
        <v>0</v>
      </c>
      <c r="M115" s="185">
        <f>IF(J115&gt;1,J115-K115,0)</f>
        <v>0</v>
      </c>
    </row>
    <row r="116" spans="3:13" ht="18" customHeight="1" x14ac:dyDescent="0.25">
      <c r="C116" s="185">
        <v>18</v>
      </c>
      <c r="D116" s="185">
        <f>+G115</f>
        <v>0</v>
      </c>
      <c r="E116" s="185">
        <f>IF(D116&gt;0,+$G$92-F116,0)</f>
        <v>0</v>
      </c>
      <c r="F116" s="185">
        <f>+D116*$E$92/12*$E$91</f>
        <v>0</v>
      </c>
      <c r="G116" s="185">
        <f>IF(D116&gt;1,D116-E116,0)</f>
        <v>0</v>
      </c>
      <c r="I116" s="185">
        <v>18</v>
      </c>
      <c r="J116" s="185">
        <f>+M115</f>
        <v>0</v>
      </c>
      <c r="K116" s="185">
        <f>IF(J116&gt;0,+$M$92-L116,0)</f>
        <v>0</v>
      </c>
      <c r="L116" s="185">
        <f>+J116*$K$92/12*$K$91</f>
        <v>0</v>
      </c>
      <c r="M116" s="185">
        <f>IF(J116&gt;1,J116-K116,0)</f>
        <v>0</v>
      </c>
    </row>
    <row r="117" spans="3:13" ht="18" customHeight="1" x14ac:dyDescent="0.25">
      <c r="C117" s="185">
        <v>19</v>
      </c>
      <c r="D117" s="185">
        <f>+G116</f>
        <v>0</v>
      </c>
      <c r="E117" s="185">
        <f>IF(D117&gt;0,+$G$92-F117,0)</f>
        <v>0</v>
      </c>
      <c r="F117" s="185">
        <f>+D117*$E$92/12*$E$91</f>
        <v>0</v>
      </c>
      <c r="G117" s="185">
        <f>IF(D117&gt;1,D117-E117,0)</f>
        <v>0</v>
      </c>
      <c r="I117" s="185">
        <v>19</v>
      </c>
      <c r="J117" s="185">
        <f>+M116</f>
        <v>0</v>
      </c>
      <c r="K117" s="185">
        <f>IF(J117&gt;0,+$M$92-L117,0)</f>
        <v>0</v>
      </c>
      <c r="L117" s="185">
        <f>+J117*$K$92/12*$K$91</f>
        <v>0</v>
      </c>
      <c r="M117" s="185">
        <f>IF(J117&gt;1,J117-K117,0)</f>
        <v>0</v>
      </c>
    </row>
    <row r="118" spans="3:13" ht="18" customHeight="1" x14ac:dyDescent="0.25">
      <c r="C118" s="185">
        <v>20</v>
      </c>
      <c r="D118" s="185">
        <f>+G117</f>
        <v>0</v>
      </c>
      <c r="E118" s="185">
        <f>IF(D118&gt;0,+$G$92-F118,0)</f>
        <v>0</v>
      </c>
      <c r="F118" s="185">
        <f>+D118*$E$92/12*$E$91</f>
        <v>0</v>
      </c>
      <c r="G118" s="185">
        <f>IF(D118&gt;1,D118-E118,0)</f>
        <v>0</v>
      </c>
      <c r="I118" s="185">
        <v>20</v>
      </c>
      <c r="J118" s="185">
        <f>+M117</f>
        <v>0</v>
      </c>
      <c r="K118" s="185">
        <f>IF(J118&gt;0,+$M$92-L118,0)</f>
        <v>0</v>
      </c>
      <c r="L118" s="185">
        <f>+J118*$K$92/12*$K$91</f>
        <v>0</v>
      </c>
      <c r="M118" s="185">
        <f>IF(J118&gt;1,J118-K118,0)</f>
        <v>0</v>
      </c>
    </row>
    <row r="119" spans="3:13" ht="18" customHeight="1" x14ac:dyDescent="0.25">
      <c r="C119" s="182" t="s">
        <v>460</v>
      </c>
      <c r="D119" s="183">
        <v>5</v>
      </c>
      <c r="E119" s="182">
        <f>SUM(E115:E118)</f>
        <v>0</v>
      </c>
      <c r="F119" s="182">
        <f>SUM(F115:F118)</f>
        <v>0</v>
      </c>
      <c r="G119" s="182">
        <f>+G118</f>
        <v>0</v>
      </c>
      <c r="I119" s="182" t="s">
        <v>460</v>
      </c>
      <c r="J119" s="183">
        <v>5</v>
      </c>
      <c r="K119" s="182">
        <f>SUM(K115:K118)</f>
        <v>0</v>
      </c>
      <c r="L119" s="182">
        <f>SUM(L115:L118)</f>
        <v>0</v>
      </c>
      <c r="M119" s="182">
        <f>+M118</f>
        <v>0</v>
      </c>
    </row>
    <row r="120" spans="3:13" ht="18" customHeight="1" x14ac:dyDescent="0.25">
      <c r="C120" s="185">
        <v>21</v>
      </c>
      <c r="D120" s="185">
        <f>+G118</f>
        <v>0</v>
      </c>
      <c r="E120" s="185">
        <f>IF(D120&gt;0,+$G$92-F120,0)</f>
        <v>0</v>
      </c>
      <c r="F120" s="185">
        <f>+D120*$E$92/12*$E$91</f>
        <v>0</v>
      </c>
      <c r="G120" s="185">
        <f>IF(D120&gt;1,D120-E120,0)</f>
        <v>0</v>
      </c>
      <c r="I120" s="185">
        <v>21</v>
      </c>
      <c r="J120" s="185">
        <f>+M118</f>
        <v>0</v>
      </c>
      <c r="K120" s="185">
        <f>IF(J120&gt;0,+$M$92-L120,0)</f>
        <v>0</v>
      </c>
      <c r="L120" s="185">
        <f>+J120*$K$92/12*$K$91</f>
        <v>0</v>
      </c>
      <c r="M120" s="185">
        <f>IF(J120&gt;1,J120-K120,0)</f>
        <v>0</v>
      </c>
    </row>
    <row r="121" spans="3:13" ht="18" customHeight="1" x14ac:dyDescent="0.25">
      <c r="C121" s="185">
        <v>22</v>
      </c>
      <c r="D121" s="185">
        <f>+G120</f>
        <v>0</v>
      </c>
      <c r="E121" s="185">
        <f>IF(D121&gt;0,+$G$92-F121,0)</f>
        <v>0</v>
      </c>
      <c r="F121" s="185">
        <f>+D121*$E$92/12*$E$91</f>
        <v>0</v>
      </c>
      <c r="G121" s="185">
        <f>IF(D121&gt;1,D121-E121,0)</f>
        <v>0</v>
      </c>
      <c r="I121" s="185">
        <v>22</v>
      </c>
      <c r="J121" s="185">
        <f>+M120</f>
        <v>0</v>
      </c>
      <c r="K121" s="185">
        <f>IF(J121&gt;0,+$M$92-L121,0)</f>
        <v>0</v>
      </c>
      <c r="L121" s="185">
        <f>+J121*$K$92/12*$K$91</f>
        <v>0</v>
      </c>
      <c r="M121" s="185">
        <f>IF(J121&gt;1,J121-K121,0)</f>
        <v>0</v>
      </c>
    </row>
    <row r="122" spans="3:13" ht="18" customHeight="1" x14ac:dyDescent="0.25">
      <c r="C122" s="185">
        <v>23</v>
      </c>
      <c r="D122" s="185">
        <f>+G121</f>
        <v>0</v>
      </c>
      <c r="E122" s="185">
        <f>IF(D122&gt;0,+$G$92-F122,0)</f>
        <v>0</v>
      </c>
      <c r="F122" s="185">
        <f>+D122*$E$92/12*$E$91</f>
        <v>0</v>
      </c>
      <c r="G122" s="185">
        <f>IF(D122&gt;1,D122-E122,0)</f>
        <v>0</v>
      </c>
      <c r="I122" s="185">
        <v>23</v>
      </c>
      <c r="J122" s="185">
        <f>+M121</f>
        <v>0</v>
      </c>
      <c r="K122" s="185">
        <f>IF(J122&gt;0,+$M$92-L122,0)</f>
        <v>0</v>
      </c>
      <c r="L122" s="185">
        <f>+J122*$K$92/12*$K$91</f>
        <v>0</v>
      </c>
      <c r="M122" s="185">
        <f>IF(J122&gt;1,J122-K122,0)</f>
        <v>0</v>
      </c>
    </row>
    <row r="123" spans="3:13" ht="18" customHeight="1" x14ac:dyDescent="0.25">
      <c r="C123" s="185">
        <v>24</v>
      </c>
      <c r="D123" s="185">
        <f>+G122</f>
        <v>0</v>
      </c>
      <c r="E123" s="185">
        <f>IF(D123&gt;0,+$G$92-F123,0)</f>
        <v>0</v>
      </c>
      <c r="F123" s="185">
        <f>+D123*$E$92/12*$E$91</f>
        <v>0</v>
      </c>
      <c r="G123" s="185">
        <f>IF(D123&gt;1,D123-E123,0)</f>
        <v>0</v>
      </c>
      <c r="I123" s="185">
        <v>24</v>
      </c>
      <c r="J123" s="185">
        <f>+M122</f>
        <v>0</v>
      </c>
      <c r="K123" s="185">
        <f>IF(J123&gt;0,+$M$92-L123,0)</f>
        <v>0</v>
      </c>
      <c r="L123" s="185">
        <f>+J123*$K$92/12*$K$91</f>
        <v>0</v>
      </c>
      <c r="M123" s="185">
        <f>IF(J123&gt;1,J123-K123,0)</f>
        <v>0</v>
      </c>
    </row>
    <row r="124" spans="3:13" ht="18" customHeight="1" x14ac:dyDescent="0.25">
      <c r="C124" s="182" t="s">
        <v>460</v>
      </c>
      <c r="D124" s="183">
        <v>6</v>
      </c>
      <c r="E124" s="182">
        <f>SUM(E120:E123)</f>
        <v>0</v>
      </c>
      <c r="F124" s="182">
        <f>SUM(F120:F123)</f>
        <v>0</v>
      </c>
      <c r="G124" s="182">
        <f>+G123</f>
        <v>0</v>
      </c>
      <c r="I124" s="182" t="s">
        <v>460</v>
      </c>
      <c r="J124" s="183">
        <v>6</v>
      </c>
      <c r="K124" s="182">
        <f>SUM(K120:K123)</f>
        <v>0</v>
      </c>
      <c r="L124" s="182">
        <f>SUM(L120:L123)</f>
        <v>0</v>
      </c>
      <c r="M124" s="182">
        <f>+M123</f>
        <v>0</v>
      </c>
    </row>
    <row r="125" spans="3:13" ht="18" customHeight="1" x14ac:dyDescent="0.25">
      <c r="C125" s="185">
        <v>25</v>
      </c>
      <c r="D125" s="185">
        <f>+G123</f>
        <v>0</v>
      </c>
      <c r="E125" s="185">
        <f>IF(D125&gt;0,+$G$92-F125,0)</f>
        <v>0</v>
      </c>
      <c r="F125" s="185">
        <f>+D125*$E$92/12*$E$91</f>
        <v>0</v>
      </c>
      <c r="G125" s="185">
        <f>IF(D125&gt;1,D125-E125,0)</f>
        <v>0</v>
      </c>
      <c r="I125" s="185">
        <v>25</v>
      </c>
      <c r="J125" s="185">
        <f>+M123</f>
        <v>0</v>
      </c>
      <c r="K125" s="185">
        <f>IF(J125&gt;0,+$M$92-L125,0)</f>
        <v>0</v>
      </c>
      <c r="L125" s="185">
        <f>+J125*$K$92/12*$K$91</f>
        <v>0</v>
      </c>
      <c r="M125" s="185">
        <f>IF(J125&gt;1,J125-K125,0)</f>
        <v>0</v>
      </c>
    </row>
    <row r="126" spans="3:13" ht="18" customHeight="1" x14ac:dyDescent="0.25">
      <c r="C126" s="185">
        <v>26</v>
      </c>
      <c r="D126" s="185">
        <f>+G125</f>
        <v>0</v>
      </c>
      <c r="E126" s="185">
        <f>IF(D126&gt;0,+$G$92-F126,0)</f>
        <v>0</v>
      </c>
      <c r="F126" s="185">
        <f>+D126*$E$92/12*$E$91</f>
        <v>0</v>
      </c>
      <c r="G126" s="185">
        <f>IF(D126&gt;1,D126-E126,0)</f>
        <v>0</v>
      </c>
      <c r="I126" s="185">
        <v>26</v>
      </c>
      <c r="J126" s="185">
        <f>+M125</f>
        <v>0</v>
      </c>
      <c r="K126" s="185">
        <f>IF(J126&gt;0,+$M$92-L126,0)</f>
        <v>0</v>
      </c>
      <c r="L126" s="185">
        <f>+J126*$K$92/12*$K$91</f>
        <v>0</v>
      </c>
      <c r="M126" s="185">
        <f>IF(J126&gt;1,J126-K126,0)</f>
        <v>0</v>
      </c>
    </row>
    <row r="127" spans="3:13" ht="18" customHeight="1" x14ac:dyDescent="0.25">
      <c r="C127" s="185">
        <v>27</v>
      </c>
      <c r="D127" s="185">
        <f>+G126</f>
        <v>0</v>
      </c>
      <c r="E127" s="185">
        <f>IF(D127&gt;0,+$G$92-F127,0)</f>
        <v>0</v>
      </c>
      <c r="F127" s="185">
        <f>+D127*$E$92/12*$E$91</f>
        <v>0</v>
      </c>
      <c r="G127" s="185">
        <f>IF(D127&gt;1,D127-E127,0)</f>
        <v>0</v>
      </c>
      <c r="I127" s="185">
        <v>27</v>
      </c>
      <c r="J127" s="185">
        <f>+M126</f>
        <v>0</v>
      </c>
      <c r="K127" s="185">
        <f>IF(J127&gt;0,+$M$92-L127,0)</f>
        <v>0</v>
      </c>
      <c r="L127" s="185">
        <f>+J127*$K$92/12*$K$91</f>
        <v>0</v>
      </c>
      <c r="M127" s="185">
        <f>IF(J127&gt;1,J127-K127,0)</f>
        <v>0</v>
      </c>
    </row>
    <row r="128" spans="3:13" ht="18" customHeight="1" x14ac:dyDescent="0.25">
      <c r="C128" s="185">
        <v>28</v>
      </c>
      <c r="D128" s="185">
        <f>+G127</f>
        <v>0</v>
      </c>
      <c r="E128" s="185">
        <f>IF(D128&gt;0,+$G$92-F128,0)</f>
        <v>0</v>
      </c>
      <c r="F128" s="185">
        <f>+D128*$E$92/12*$E$91</f>
        <v>0</v>
      </c>
      <c r="G128" s="185">
        <f>IF(D128&gt;1,D128-E128,0)</f>
        <v>0</v>
      </c>
      <c r="I128" s="185">
        <v>28</v>
      </c>
      <c r="J128" s="185">
        <f>+M127</f>
        <v>0</v>
      </c>
      <c r="K128" s="185">
        <f>IF(J128&gt;0,+$M$92-L128,0)</f>
        <v>0</v>
      </c>
      <c r="L128" s="185">
        <f>+J128*$K$92/12*$K$91</f>
        <v>0</v>
      </c>
      <c r="M128" s="185">
        <f>IF(J128&gt;1,J128-K128,0)</f>
        <v>0</v>
      </c>
    </row>
    <row r="129" spans="3:15" ht="18" customHeight="1" x14ac:dyDescent="0.25">
      <c r="C129" s="182" t="s">
        <v>460</v>
      </c>
      <c r="D129" s="183">
        <v>7</v>
      </c>
      <c r="E129" s="182">
        <f>SUM(E125:E128)</f>
        <v>0</v>
      </c>
      <c r="F129" s="182">
        <f>SUM(F125:F128)</f>
        <v>0</v>
      </c>
      <c r="G129" s="182">
        <f>+G128</f>
        <v>0</v>
      </c>
      <c r="I129" s="182" t="s">
        <v>460</v>
      </c>
      <c r="J129" s="183">
        <v>7</v>
      </c>
      <c r="K129" s="182">
        <f>SUM(K125:K128)</f>
        <v>0</v>
      </c>
      <c r="L129" s="182">
        <f>SUM(L125:L128)</f>
        <v>0</v>
      </c>
      <c r="M129" s="182">
        <f>+M128</f>
        <v>0</v>
      </c>
    </row>
    <row r="130" spans="3:15" ht="18" customHeight="1" x14ac:dyDescent="0.25">
      <c r="C130" s="128"/>
      <c r="D130" s="130"/>
      <c r="I130" s="170"/>
      <c r="J130" s="130"/>
    </row>
    <row r="131" spans="3:15" ht="18" customHeight="1" x14ac:dyDescent="0.25">
      <c r="C131" s="171"/>
      <c r="D131" s="81"/>
      <c r="E131" s="81"/>
      <c r="F131" s="81"/>
      <c r="G131" s="117"/>
      <c r="I131" s="171"/>
      <c r="J131" s="81"/>
      <c r="K131" s="81"/>
      <c r="L131" s="81"/>
      <c r="M131" s="117"/>
      <c r="N131" s="170"/>
      <c r="O131" s="130"/>
    </row>
    <row r="132" spans="3:15" ht="18" customHeight="1" x14ac:dyDescent="0.25">
      <c r="C132" s="172"/>
      <c r="G132" s="118"/>
      <c r="I132" s="172"/>
      <c r="M132" s="118"/>
      <c r="N132" s="170"/>
      <c r="O132" s="130"/>
    </row>
    <row r="133" spans="3:15" ht="18" customHeight="1" x14ac:dyDescent="0.25">
      <c r="C133" s="172"/>
      <c r="G133" s="118"/>
      <c r="I133" s="172"/>
      <c r="M133" s="118"/>
      <c r="N133" s="170"/>
      <c r="O133" s="130"/>
    </row>
    <row r="134" spans="3:15" ht="18" customHeight="1" x14ac:dyDescent="0.25">
      <c r="C134" s="342" t="s">
        <v>461</v>
      </c>
      <c r="D134" s="293"/>
      <c r="E134" s="293"/>
      <c r="F134" s="293"/>
      <c r="G134" s="294"/>
      <c r="I134" s="342" t="s">
        <v>461</v>
      </c>
      <c r="J134" s="293"/>
      <c r="K134" s="293"/>
      <c r="L134" s="293"/>
      <c r="M134" s="294"/>
      <c r="N134" s="170"/>
      <c r="O134" s="130"/>
    </row>
    <row r="135" spans="3:15" ht="18" customHeight="1" x14ac:dyDescent="0.25">
      <c r="C135" s="173"/>
      <c r="D135" s="15"/>
      <c r="E135" s="15"/>
      <c r="F135" s="15"/>
      <c r="G135" s="25"/>
      <c r="I135" s="173"/>
      <c r="J135" s="15"/>
      <c r="K135" s="15"/>
      <c r="L135" s="15"/>
      <c r="M135" s="25"/>
      <c r="N135" s="170"/>
      <c r="O135" s="130"/>
    </row>
    <row r="136" spans="3:15" ht="18" customHeight="1" x14ac:dyDescent="0.25">
      <c r="C136" s="185" t="s">
        <v>454</v>
      </c>
      <c r="D136" s="185" t="s">
        <v>446</v>
      </c>
      <c r="E136" s="185" t="s">
        <v>455</v>
      </c>
      <c r="F136" s="169"/>
      <c r="G136" s="185" t="s">
        <v>456</v>
      </c>
      <c r="I136" s="185" t="s">
        <v>454</v>
      </c>
      <c r="J136" s="185" t="s">
        <v>446</v>
      </c>
      <c r="K136" s="185" t="s">
        <v>455</v>
      </c>
      <c r="L136" s="169"/>
      <c r="M136" s="185" t="s">
        <v>456</v>
      </c>
      <c r="N136" s="170"/>
      <c r="O136" s="130"/>
    </row>
    <row r="137" spans="3:15" ht="18" customHeight="1" x14ac:dyDescent="0.25">
      <c r="C137" s="185" t="s">
        <v>457</v>
      </c>
      <c r="D137" s="185" t="s">
        <v>458</v>
      </c>
      <c r="E137" s="185" t="s">
        <v>446</v>
      </c>
      <c r="F137" s="185" t="s">
        <v>459</v>
      </c>
      <c r="G137" s="185" t="s">
        <v>384</v>
      </c>
      <c r="I137" s="185" t="s">
        <v>457</v>
      </c>
      <c r="J137" s="185" t="s">
        <v>458</v>
      </c>
      <c r="K137" s="185" t="s">
        <v>446</v>
      </c>
      <c r="L137" s="185" t="s">
        <v>459</v>
      </c>
      <c r="M137" s="185" t="s">
        <v>384</v>
      </c>
      <c r="N137" s="170"/>
      <c r="O137" s="130"/>
    </row>
    <row r="138" spans="3:15" ht="18" customHeight="1" x14ac:dyDescent="0.25">
      <c r="C138" s="172"/>
      <c r="D138" s="185">
        <f>+J95+D95</f>
        <v>0</v>
      </c>
      <c r="G138" s="118"/>
      <c r="I138" s="174"/>
      <c r="M138" s="118"/>
      <c r="N138" s="170"/>
      <c r="O138" s="130"/>
    </row>
    <row r="139" spans="3:15" ht="18" customHeight="1" x14ac:dyDescent="0.25">
      <c r="C139" s="172"/>
      <c r="G139" s="118"/>
      <c r="I139" s="174"/>
      <c r="M139" s="118"/>
      <c r="N139" s="170"/>
      <c r="O139" s="130"/>
    </row>
    <row r="140" spans="3:15" ht="18" customHeight="1" x14ac:dyDescent="0.25">
      <c r="C140" s="172"/>
      <c r="G140" s="118"/>
      <c r="I140" s="174"/>
      <c r="M140" s="118"/>
      <c r="N140" s="170"/>
      <c r="O140" s="130"/>
    </row>
    <row r="141" spans="3:15" ht="18" customHeight="1" x14ac:dyDescent="0.25">
      <c r="C141" s="172"/>
      <c r="G141" s="118"/>
      <c r="I141" s="174"/>
      <c r="M141" s="118"/>
      <c r="N141" s="170"/>
      <c r="O141" s="130"/>
    </row>
    <row r="142" spans="3:15" ht="18" customHeight="1" x14ac:dyDescent="0.25">
      <c r="C142" s="182" t="s">
        <v>460</v>
      </c>
      <c r="D142" s="183">
        <v>1</v>
      </c>
      <c r="E142" s="182">
        <f>+K99+E99</f>
        <v>0</v>
      </c>
      <c r="F142" s="182">
        <f>+L99+F99</f>
        <v>0</v>
      </c>
      <c r="G142" s="182">
        <f>+G99+M99</f>
        <v>0</v>
      </c>
      <c r="I142" s="182" t="s">
        <v>460</v>
      </c>
      <c r="J142" s="183">
        <v>4</v>
      </c>
      <c r="K142" s="182">
        <f>+K114+E114</f>
        <v>0</v>
      </c>
      <c r="L142" s="182">
        <f>+L114+F114</f>
        <v>0</v>
      </c>
      <c r="M142" s="182">
        <f>+G114+M114</f>
        <v>0</v>
      </c>
      <c r="N142" s="170"/>
      <c r="O142" s="130"/>
    </row>
    <row r="143" spans="3:15" ht="18" customHeight="1" x14ac:dyDescent="0.25">
      <c r="C143" s="172"/>
      <c r="G143" s="118"/>
      <c r="I143" s="174"/>
      <c r="M143" s="118"/>
      <c r="N143" s="170"/>
      <c r="O143" s="130"/>
    </row>
    <row r="144" spans="3:15" ht="18" customHeight="1" x14ac:dyDescent="0.25">
      <c r="C144" s="172"/>
      <c r="G144" s="118"/>
      <c r="I144" s="174"/>
      <c r="M144" s="118"/>
      <c r="N144" s="170"/>
      <c r="O144" s="130"/>
    </row>
    <row r="145" spans="3:15" ht="18" customHeight="1" x14ac:dyDescent="0.25">
      <c r="C145" s="172"/>
      <c r="G145" s="118"/>
      <c r="I145" s="174"/>
      <c r="M145" s="118"/>
      <c r="N145" s="170"/>
      <c r="O145" s="130"/>
    </row>
    <row r="146" spans="3:15" ht="18" customHeight="1" x14ac:dyDescent="0.25">
      <c r="C146" s="172"/>
      <c r="G146" s="118"/>
      <c r="I146" s="174"/>
      <c r="M146" s="118"/>
      <c r="N146" s="170"/>
      <c r="O146" s="130"/>
    </row>
    <row r="147" spans="3:15" ht="18" customHeight="1" x14ac:dyDescent="0.25">
      <c r="C147" s="182" t="s">
        <v>460</v>
      </c>
      <c r="D147" s="183">
        <v>2</v>
      </c>
      <c r="E147" s="182">
        <f>+K104+E104</f>
        <v>0</v>
      </c>
      <c r="F147" s="182">
        <f>+L104+F104</f>
        <v>0</v>
      </c>
      <c r="G147" s="182">
        <f>+G104+M104</f>
        <v>0</v>
      </c>
      <c r="I147" s="182" t="s">
        <v>460</v>
      </c>
      <c r="J147" s="183">
        <v>5</v>
      </c>
      <c r="K147" s="182">
        <f>+K119+E119</f>
        <v>0</v>
      </c>
      <c r="L147" s="182">
        <f>+L119+F119</f>
        <v>0</v>
      </c>
      <c r="M147" s="182">
        <f>+G119+M119</f>
        <v>0</v>
      </c>
      <c r="N147" s="170"/>
      <c r="O147" s="130"/>
    </row>
    <row r="148" spans="3:15" ht="18" customHeight="1" x14ac:dyDescent="0.25">
      <c r="C148" s="174"/>
      <c r="G148" s="118"/>
      <c r="I148" s="174"/>
      <c r="M148" s="118"/>
      <c r="N148" s="170"/>
      <c r="O148" s="130"/>
    </row>
    <row r="149" spans="3:15" ht="18" customHeight="1" x14ac:dyDescent="0.25">
      <c r="C149" s="174"/>
      <c r="G149" s="118"/>
      <c r="I149" s="174"/>
      <c r="M149" s="118"/>
      <c r="N149" s="170"/>
      <c r="O149" s="130"/>
    </row>
    <row r="150" spans="3:15" ht="18" customHeight="1" x14ac:dyDescent="0.25">
      <c r="C150" s="174"/>
      <c r="G150" s="118"/>
      <c r="I150" s="174"/>
      <c r="M150" s="118"/>
      <c r="N150" s="170"/>
      <c r="O150" s="130"/>
    </row>
    <row r="151" spans="3:15" ht="18" customHeight="1" x14ac:dyDescent="0.25">
      <c r="C151" s="174"/>
      <c r="G151" s="118"/>
      <c r="I151" s="174"/>
      <c r="M151" s="118"/>
      <c r="N151" s="170"/>
      <c r="O151" s="130"/>
    </row>
    <row r="152" spans="3:15" ht="18" customHeight="1" x14ac:dyDescent="0.25">
      <c r="C152" s="182" t="s">
        <v>460</v>
      </c>
      <c r="D152" s="183">
        <v>3</v>
      </c>
      <c r="E152" s="182">
        <f>+K109+E109</f>
        <v>0</v>
      </c>
      <c r="F152" s="182">
        <f>+L109+F109</f>
        <v>0</v>
      </c>
      <c r="G152" s="182">
        <f>+G109+M109</f>
        <v>0</v>
      </c>
      <c r="I152" s="182" t="s">
        <v>460</v>
      </c>
      <c r="J152" s="183">
        <v>6</v>
      </c>
      <c r="K152" s="182">
        <f>+K124+E124</f>
        <v>0</v>
      </c>
      <c r="L152" s="182">
        <f>+L124+F124</f>
        <v>0</v>
      </c>
      <c r="M152" s="182">
        <f>+G124+M124</f>
        <v>0</v>
      </c>
      <c r="N152" s="170"/>
      <c r="O152" s="130"/>
    </row>
    <row r="153" spans="3:15" ht="18" customHeight="1" x14ac:dyDescent="0.25">
      <c r="C153" s="128"/>
      <c r="D153" s="130"/>
      <c r="I153" s="174"/>
      <c r="M153" s="118"/>
      <c r="N153" s="170"/>
      <c r="O153" s="130"/>
    </row>
    <row r="154" spans="3:15" ht="18" customHeight="1" x14ac:dyDescent="0.25">
      <c r="C154" s="128"/>
      <c r="D154" s="130"/>
      <c r="I154" s="174"/>
      <c r="M154" s="118"/>
      <c r="N154" s="170"/>
      <c r="O154" s="130"/>
    </row>
    <row r="155" spans="3:15" ht="18" customHeight="1" x14ac:dyDescent="0.25">
      <c r="C155" s="128"/>
      <c r="D155" s="130"/>
      <c r="I155" s="174"/>
      <c r="M155" s="118"/>
      <c r="N155" s="170"/>
      <c r="O155" s="130"/>
    </row>
    <row r="156" spans="3:15" ht="18" customHeight="1" x14ac:dyDescent="0.25">
      <c r="C156" s="128"/>
      <c r="D156" s="130"/>
      <c r="I156" s="174"/>
      <c r="M156" s="118"/>
      <c r="N156" s="170"/>
      <c r="O156" s="130"/>
    </row>
    <row r="157" spans="3:15" ht="18" customHeight="1" x14ac:dyDescent="0.25">
      <c r="C157" s="128"/>
      <c r="D157" s="130"/>
      <c r="I157" s="182" t="s">
        <v>460</v>
      </c>
      <c r="J157" s="183">
        <v>7</v>
      </c>
      <c r="K157" s="182">
        <f>+K129+E129</f>
        <v>0</v>
      </c>
      <c r="L157" s="182">
        <f>+L129+F129</f>
        <v>0</v>
      </c>
      <c r="M157" s="182">
        <f>+G129+M129</f>
        <v>0</v>
      </c>
      <c r="N157" s="170"/>
      <c r="O157" s="130"/>
    </row>
    <row r="158" spans="3:15" ht="18" customHeight="1" x14ac:dyDescent="0.25">
      <c r="C158" s="128"/>
      <c r="D158" s="130"/>
      <c r="I158" s="170"/>
      <c r="J158" s="130"/>
      <c r="N158" s="170"/>
      <c r="O158" s="130"/>
    </row>
    <row r="159" spans="3:15" ht="18" customHeight="1" x14ac:dyDescent="0.25">
      <c r="C159" s="344" t="s">
        <v>462</v>
      </c>
      <c r="D159" s="293"/>
      <c r="E159" s="293"/>
      <c r="F159" s="293"/>
      <c r="G159" s="294"/>
      <c r="I159" s="344" t="s">
        <v>463</v>
      </c>
      <c r="J159" s="293"/>
      <c r="K159" s="293"/>
      <c r="L159" s="293"/>
      <c r="M159" s="294"/>
    </row>
    <row r="160" spans="3:15" ht="18" customHeight="1" x14ac:dyDescent="0.25">
      <c r="C160" s="182" t="s">
        <v>446</v>
      </c>
      <c r="D160" s="53"/>
      <c r="E160" s="182">
        <f>APRI!B93-APRI!F93</f>
        <v>0</v>
      </c>
      <c r="F160" s="182" t="s">
        <v>447</v>
      </c>
      <c r="G160" s="117"/>
      <c r="I160" s="182" t="s">
        <v>446</v>
      </c>
      <c r="J160" s="53"/>
      <c r="K160" s="182">
        <f>APRI!B94-APRI!F94</f>
        <v>558</v>
      </c>
      <c r="L160" s="182" t="s">
        <v>447</v>
      </c>
      <c r="M160" s="117"/>
    </row>
    <row r="161" spans="2:13" ht="18" customHeight="1" x14ac:dyDescent="0.25">
      <c r="C161" s="185" t="s">
        <v>448</v>
      </c>
      <c r="D161" s="81"/>
      <c r="E161" s="185">
        <f>APRI!C93</f>
        <v>15</v>
      </c>
      <c r="F161" s="185" t="s">
        <v>449</v>
      </c>
      <c r="G161" s="185">
        <f>+G163*(12/E162)</f>
        <v>0</v>
      </c>
      <c r="I161" s="185" t="s">
        <v>448</v>
      </c>
      <c r="J161" s="81"/>
      <c r="K161" s="185">
        <f>APRI!C94</f>
        <v>7</v>
      </c>
      <c r="L161" s="185" t="s">
        <v>449</v>
      </c>
      <c r="M161" s="185">
        <f>+M163*(12/K162)</f>
        <v>92.863428573505317</v>
      </c>
    </row>
    <row r="162" spans="2:13" ht="18" customHeight="1" x14ac:dyDescent="0.25">
      <c r="C162" s="182" t="s">
        <v>450</v>
      </c>
      <c r="D162" s="15"/>
      <c r="E162" s="182">
        <v>3</v>
      </c>
      <c r="F162" s="182" t="s">
        <v>451</v>
      </c>
      <c r="G162" s="182">
        <f>+E161*(12/E162)</f>
        <v>60</v>
      </c>
      <c r="I162" s="182" t="s">
        <v>450</v>
      </c>
      <c r="J162" s="15"/>
      <c r="K162" s="182">
        <v>3</v>
      </c>
      <c r="L162" s="182" t="s">
        <v>451</v>
      </c>
      <c r="M162" s="182">
        <f>+K161*(12/K162)</f>
        <v>28</v>
      </c>
    </row>
    <row r="163" spans="2:13" ht="18" customHeight="1" x14ac:dyDescent="0.25">
      <c r="C163" s="185" t="s">
        <v>452</v>
      </c>
      <c r="D163" s="53"/>
      <c r="E163" s="194">
        <f>APRI!D93</f>
        <v>4.3400000000000001E-2</v>
      </c>
      <c r="F163" s="185" t="s">
        <v>464</v>
      </c>
      <c r="G163" s="185">
        <f>PMT(E163/(12/E162),G162,-E160)</f>
        <v>0</v>
      </c>
      <c r="I163" s="185" t="s">
        <v>452</v>
      </c>
      <c r="J163" s="53"/>
      <c r="K163" s="194">
        <f>APRI!D94</f>
        <v>4.3400000000000001E-2</v>
      </c>
      <c r="L163" s="185" t="s">
        <v>464</v>
      </c>
      <c r="M163" s="185">
        <f>PMT(K163/(12/K162),M162,-K160)</f>
        <v>23.215857143376329</v>
      </c>
    </row>
    <row r="164" spans="2:13" ht="18" customHeight="1" x14ac:dyDescent="0.25">
      <c r="C164" s="185" t="s">
        <v>454</v>
      </c>
      <c r="D164" s="185" t="s">
        <v>446</v>
      </c>
      <c r="E164" s="185" t="s">
        <v>455</v>
      </c>
      <c r="F164" s="169"/>
      <c r="G164" s="185" t="s">
        <v>456</v>
      </c>
      <c r="I164" s="185" t="s">
        <v>454</v>
      </c>
      <c r="J164" s="185" t="s">
        <v>446</v>
      </c>
      <c r="K164" s="185" t="s">
        <v>455</v>
      </c>
      <c r="L164" s="169"/>
      <c r="M164" s="185" t="s">
        <v>456</v>
      </c>
    </row>
    <row r="165" spans="2:13" ht="18" customHeight="1" x14ac:dyDescent="0.25">
      <c r="C165" s="185" t="s">
        <v>457</v>
      </c>
      <c r="D165" s="185" t="s">
        <v>458</v>
      </c>
      <c r="E165" s="185" t="s">
        <v>446</v>
      </c>
      <c r="F165" s="185" t="s">
        <v>459</v>
      </c>
      <c r="G165" s="185" t="s">
        <v>384</v>
      </c>
      <c r="I165" s="185" t="s">
        <v>457</v>
      </c>
      <c r="J165" s="185" t="s">
        <v>458</v>
      </c>
      <c r="K165" s="185" t="s">
        <v>446</v>
      </c>
      <c r="L165" s="185" t="s">
        <v>459</v>
      </c>
      <c r="M165" s="185" t="s">
        <v>384</v>
      </c>
    </row>
    <row r="166" spans="2:13" ht="18" customHeight="1" x14ac:dyDescent="0.25">
      <c r="B166" s="185">
        <f>IF(APRI!$C$9=12,1,0)</f>
        <v>1</v>
      </c>
      <c r="C166" s="185">
        <v>1</v>
      </c>
      <c r="D166" s="185">
        <f>+E160</f>
        <v>0</v>
      </c>
      <c r="E166" s="185">
        <f>IF(B166=0,0,+$G$163-F166)</f>
        <v>0</v>
      </c>
      <c r="F166" s="185">
        <f>IF(B166=0,0,+D166*$E$163/12*$E$162)</f>
        <v>0</v>
      </c>
      <c r="G166" s="185">
        <f>IF(D166&gt;1,D166-E166,0)</f>
        <v>0</v>
      </c>
      <c r="H166" s="185">
        <f>IF(APRI!$C$9=12,1,0)</f>
        <v>1</v>
      </c>
      <c r="I166" s="185">
        <v>1</v>
      </c>
      <c r="J166" s="185">
        <f>+K160</f>
        <v>558</v>
      </c>
      <c r="K166" s="185">
        <f>IF(H166=0,0,+$M$163-L166)</f>
        <v>17.161557143376328</v>
      </c>
      <c r="L166" s="185">
        <f>IF(H166=0,0,+J166*$K$163/12*$E$162)</f>
        <v>6.0542999999999996</v>
      </c>
      <c r="M166" s="185">
        <f>IF(J166&gt;1,J166-K166,0)</f>
        <v>540.83844285662371</v>
      </c>
    </row>
    <row r="167" spans="2:13" ht="18" customHeight="1" x14ac:dyDescent="0.25">
      <c r="B167" s="185">
        <f>IF(APRI!$C$9&gt;=9,1,0)</f>
        <v>1</v>
      </c>
      <c r="C167" s="185">
        <f>+C166+1</f>
        <v>2</v>
      </c>
      <c r="D167" s="185">
        <f>+G166</f>
        <v>0</v>
      </c>
      <c r="E167" s="185">
        <f>IF(B167=0,0,+$G$163-F167)</f>
        <v>0</v>
      </c>
      <c r="F167" s="185">
        <f>IF(B167=0,0,+D167*$E$163/12*$E$162)</f>
        <v>0</v>
      </c>
      <c r="G167" s="185">
        <f>IF(D167&gt;1,D167-E167,0)</f>
        <v>0</v>
      </c>
      <c r="H167" s="185">
        <f>IF(APRI!$C$9&gt;=9,1,0)</f>
        <v>1</v>
      </c>
      <c r="I167" s="185">
        <f>+I166+1</f>
        <v>2</v>
      </c>
      <c r="J167" s="185">
        <f>+M166</f>
        <v>540.83844285662371</v>
      </c>
      <c r="K167" s="185">
        <f>IF(H167=0,0,+$M$163-L167)</f>
        <v>17.347760038381963</v>
      </c>
      <c r="L167" s="185">
        <f>IF(H167=0,0,+J167*$K$163/12*$E$162)</f>
        <v>5.8680971049943675</v>
      </c>
      <c r="M167" s="185">
        <f>IF(J167&gt;1,J167-K167,0)</f>
        <v>523.49068281824179</v>
      </c>
    </row>
    <row r="168" spans="2:13" ht="18" customHeight="1" x14ac:dyDescent="0.25">
      <c r="B168" s="185">
        <f>IF(APRI!$C$9&gt;=6,1,0)</f>
        <v>1</v>
      </c>
      <c r="C168" s="185">
        <f>+C167+1</f>
        <v>3</v>
      </c>
      <c r="D168" s="185">
        <f>IF(B168=0,0,+G167)</f>
        <v>0</v>
      </c>
      <c r="E168" s="185">
        <f>IF(B168=0,0,+$G$163-F168)</f>
        <v>0</v>
      </c>
      <c r="F168" s="185">
        <f>IF(B168=0,0,+D168*$E$163/12*$E$162)</f>
        <v>0</v>
      </c>
      <c r="G168" s="185">
        <f>IF(D168&gt;1,D168-E168,0)</f>
        <v>0</v>
      </c>
      <c r="H168" s="185">
        <f>IF(APRI!$C$9&gt;=6,1,0)</f>
        <v>1</v>
      </c>
      <c r="I168" s="185">
        <f>+I167+1</f>
        <v>3</v>
      </c>
      <c r="J168" s="185">
        <f>IF(H168=0,0,+M167)</f>
        <v>523.49068281824179</v>
      </c>
      <c r="K168" s="185">
        <f>IF(H168=0,0,+$M$163-L168)</f>
        <v>17.535983234798405</v>
      </c>
      <c r="L168" s="185">
        <f>IF(H168=0,0,+J168*$K$163/12*$E$162)</f>
        <v>5.6798739085779237</v>
      </c>
      <c r="M168" s="185">
        <f>IF(J168&gt;1,J168-K168,0)</f>
        <v>505.95469958344341</v>
      </c>
    </row>
    <row r="169" spans="2:13" ht="18" customHeight="1" x14ac:dyDescent="0.25">
      <c r="B169" s="185">
        <f>IF(APRI!$C$9&gt;=3,1,0)</f>
        <v>1</v>
      </c>
      <c r="C169" s="185">
        <f>+C168+1</f>
        <v>4</v>
      </c>
      <c r="D169" s="185">
        <f>+G168</f>
        <v>0</v>
      </c>
      <c r="E169" s="185">
        <f>IF(B169=0,0,+$G$163-F169)</f>
        <v>0</v>
      </c>
      <c r="F169" s="185">
        <f>IF(B169=0,0,+D169*$E$163/12*$E$162)</f>
        <v>0</v>
      </c>
      <c r="G169" s="185">
        <f>IF(D169&gt;1,D169-E169,0)</f>
        <v>0</v>
      </c>
      <c r="H169" s="185">
        <f>IF(APRI!$C$9&gt;=3,1,0)</f>
        <v>1</v>
      </c>
      <c r="I169" s="185">
        <f>+I168+1</f>
        <v>4</v>
      </c>
      <c r="J169" s="185">
        <f>+M168</f>
        <v>505.95469958344341</v>
      </c>
      <c r="K169" s="185">
        <f>IF(H169=0,0,+$M$163-L169)</f>
        <v>17.726248652895968</v>
      </c>
      <c r="L169" s="185">
        <f>IF(H169=0,0,+J169*$K$163/12*$E$162)</f>
        <v>5.4896084904803608</v>
      </c>
      <c r="M169" s="185">
        <f>IF(J169&gt;1,J169-K169,0)</f>
        <v>488.22845093054747</v>
      </c>
    </row>
    <row r="170" spans="2:13" ht="18" customHeight="1" x14ac:dyDescent="0.25">
      <c r="C170" s="182" t="s">
        <v>460</v>
      </c>
      <c r="D170" s="183">
        <v>1</v>
      </c>
      <c r="E170" s="182">
        <f>SUM(E166:E169)</f>
        <v>0</v>
      </c>
      <c r="F170" s="182">
        <f>SUM(F166:F169)</f>
        <v>0</v>
      </c>
      <c r="G170" s="182">
        <f>+G169</f>
        <v>0</v>
      </c>
      <c r="I170" s="182" t="s">
        <v>460</v>
      </c>
      <c r="J170" s="183">
        <v>1</v>
      </c>
      <c r="K170" s="182">
        <f>SUM(K166:K169)</f>
        <v>69.771549069452675</v>
      </c>
      <c r="L170" s="182">
        <f>SUM(L166:L169)</f>
        <v>23.091879504052653</v>
      </c>
      <c r="M170" s="182">
        <f>+M169</f>
        <v>488.22845093054747</v>
      </c>
    </row>
    <row r="171" spans="2:13" ht="18" customHeight="1" x14ac:dyDescent="0.25">
      <c r="C171" s="185">
        <f>+C169+1</f>
        <v>5</v>
      </c>
      <c r="D171" s="185">
        <f>+G169</f>
        <v>0</v>
      </c>
      <c r="E171" s="185">
        <f>IF(D171&gt;1,+$G$163-F171,0)</f>
        <v>0</v>
      </c>
      <c r="F171" s="185">
        <f>+D171*$E$163/12*$E$162</f>
        <v>0</v>
      </c>
      <c r="G171" s="185">
        <f>IF(D171&gt;1,D171-E171,0)</f>
        <v>0</v>
      </c>
      <c r="I171" s="185">
        <f>+I169+1</f>
        <v>5</v>
      </c>
      <c r="J171" s="185">
        <f>+M169</f>
        <v>488.22845093054747</v>
      </c>
      <c r="K171" s="185">
        <f>IF(J171&gt;1,+$M$163-L171,0)</f>
        <v>17.91857845077989</v>
      </c>
      <c r="L171" s="185">
        <f>+J171*$K$163/12*$K$162</f>
        <v>5.2972786925964401</v>
      </c>
      <c r="M171" s="185">
        <f>IF(J171&gt;1,J171-K171,0)</f>
        <v>470.30987247976759</v>
      </c>
    </row>
    <row r="172" spans="2:13" ht="18" customHeight="1" x14ac:dyDescent="0.25">
      <c r="C172" s="185">
        <f>+C171+1</f>
        <v>6</v>
      </c>
      <c r="D172" s="185">
        <f>+G171</f>
        <v>0</v>
      </c>
      <c r="E172" s="185">
        <f>IF(D172&gt;1,+$G$163-F172,0)</f>
        <v>0</v>
      </c>
      <c r="F172" s="185">
        <f>+D172*$E$163/12*$E$162</f>
        <v>0</v>
      </c>
      <c r="G172" s="185">
        <f>IF(D172&gt;1,D172-E172,0)</f>
        <v>0</v>
      </c>
      <c r="I172" s="185">
        <f>+I171+1</f>
        <v>6</v>
      </c>
      <c r="J172" s="185">
        <f>+M171</f>
        <v>470.30987247976759</v>
      </c>
      <c r="K172" s="185">
        <f>IF(J172&gt;1,+$M$163-L172,0)</f>
        <v>18.11299502697085</v>
      </c>
      <c r="L172" s="185">
        <f>+J172*$K$163/12*$K$162</f>
        <v>5.1028621164054782</v>
      </c>
      <c r="M172" s="185">
        <f>IF(J172&gt;1,J172-K172,0)</f>
        <v>452.19687745279674</v>
      </c>
    </row>
    <row r="173" spans="2:13" ht="18" customHeight="1" x14ac:dyDescent="0.25">
      <c r="C173" s="185">
        <v>7</v>
      </c>
      <c r="D173" s="185">
        <f>+G172</f>
        <v>0</v>
      </c>
      <c r="E173" s="185">
        <f>IF(D173&gt;1,+$G$163-F173,0)</f>
        <v>0</v>
      </c>
      <c r="F173" s="185">
        <f>+D173*$E$163/12*$E$162</f>
        <v>0</v>
      </c>
      <c r="G173" s="185">
        <f>IF(D173&gt;1,D173-E173,0)</f>
        <v>0</v>
      </c>
      <c r="I173" s="185">
        <v>7</v>
      </c>
      <c r="J173" s="185">
        <f>+M172</f>
        <v>452.19687745279674</v>
      </c>
      <c r="K173" s="185">
        <f>IF(J173&gt;1,+$M$163-L173,0)</f>
        <v>18.309521023013485</v>
      </c>
      <c r="L173" s="185">
        <f>+J173*$K$163/12*$K$162</f>
        <v>4.9063361203628446</v>
      </c>
      <c r="M173" s="185">
        <f>IF(J173&gt;1,J173-K173,0)</f>
        <v>433.88735642978327</v>
      </c>
    </row>
    <row r="174" spans="2:13" ht="18" customHeight="1" x14ac:dyDescent="0.25">
      <c r="C174" s="185">
        <v>8</v>
      </c>
      <c r="D174" s="185">
        <f>+G173</f>
        <v>0</v>
      </c>
      <c r="E174" s="185">
        <f>IF(D174&gt;1,+$G$163-F174,0)</f>
        <v>0</v>
      </c>
      <c r="F174" s="185">
        <f>+D174*$E$163/12*$E$162</f>
        <v>0</v>
      </c>
      <c r="G174" s="185">
        <f>IF(D174&gt;1,D174-E174,0)</f>
        <v>0</v>
      </c>
      <c r="I174" s="185">
        <v>8</v>
      </c>
      <c r="J174" s="185">
        <f>+M173</f>
        <v>433.88735642978327</v>
      </c>
      <c r="K174" s="185">
        <f>IF(J174&gt;1,+$M$163-L174,0)</f>
        <v>18.508179326113179</v>
      </c>
      <c r="L174" s="185">
        <f>+J174*$K$163/12*$K$162</f>
        <v>4.7076778172631482</v>
      </c>
      <c r="M174" s="185">
        <f>IF(J174&gt;1,J174-K174,0)</f>
        <v>415.37917710367009</v>
      </c>
    </row>
    <row r="175" spans="2:13" ht="18" customHeight="1" x14ac:dyDescent="0.25">
      <c r="C175" s="182" t="s">
        <v>460</v>
      </c>
      <c r="D175" s="183">
        <v>2</v>
      </c>
      <c r="E175" s="182">
        <f>SUM(E171:E174)</f>
        <v>0</v>
      </c>
      <c r="F175" s="182">
        <f>SUM(F171:F174)</f>
        <v>0</v>
      </c>
      <c r="G175" s="182">
        <f>+G174</f>
        <v>0</v>
      </c>
      <c r="I175" s="182" t="s">
        <v>460</v>
      </c>
      <c r="J175" s="183">
        <v>2</v>
      </c>
      <c r="K175" s="182">
        <f>SUM(K171:K174)</f>
        <v>72.849273826877408</v>
      </c>
      <c r="L175" s="182">
        <f>SUM(L171:L174)</f>
        <v>20.014154746627909</v>
      </c>
      <c r="M175" s="182">
        <f>+M174</f>
        <v>415.37917710367009</v>
      </c>
    </row>
    <row r="176" spans="2:13" ht="18" customHeight="1" x14ac:dyDescent="0.25">
      <c r="C176" s="185">
        <v>9</v>
      </c>
      <c r="D176" s="185">
        <f>+G174</f>
        <v>0</v>
      </c>
      <c r="E176" s="185">
        <f>IF(D176&gt;1,+$G$163-F176,0)</f>
        <v>0</v>
      </c>
      <c r="F176" s="185">
        <f>+D176*$E$163/12*$E$162</f>
        <v>0</v>
      </c>
      <c r="G176" s="185">
        <f>IF(D176&gt;1,D176-E176,0)</f>
        <v>0</v>
      </c>
      <c r="I176" s="185">
        <v>9</v>
      </c>
      <c r="J176" s="185">
        <f>+M174</f>
        <v>415.37917710367009</v>
      </c>
      <c r="K176" s="185">
        <f>IF(J176&gt;1,+$M$163-L176,0)</f>
        <v>18.708993071801508</v>
      </c>
      <c r="L176" s="185">
        <f>+J176*$K$163/12*$K$162</f>
        <v>4.5068640715748209</v>
      </c>
      <c r="M176" s="185">
        <f>IF(J176&gt;1,J176-K176,0)</f>
        <v>396.67018403186859</v>
      </c>
    </row>
    <row r="177" spans="3:13" ht="18" customHeight="1" x14ac:dyDescent="0.25">
      <c r="C177" s="185">
        <v>10</v>
      </c>
      <c r="D177" s="185">
        <f>+G176</f>
        <v>0</v>
      </c>
      <c r="E177" s="185">
        <f>IF(D177&gt;1,+$G$163-F177,0)</f>
        <v>0</v>
      </c>
      <c r="F177" s="185">
        <f>+D177*$E$163/12*$E$162</f>
        <v>0</v>
      </c>
      <c r="G177" s="185">
        <f>IF(D177&gt;1,D177-E177,0)</f>
        <v>0</v>
      </c>
      <c r="I177" s="185">
        <v>10</v>
      </c>
      <c r="J177" s="185">
        <f>+M176</f>
        <v>396.67018403186859</v>
      </c>
      <c r="K177" s="185">
        <f>IF(J177&gt;1,+$M$163-L177,0)</f>
        <v>18.911985646630555</v>
      </c>
      <c r="L177" s="185">
        <f>+J177*$K$163/12*$K$162</f>
        <v>4.3038714967457743</v>
      </c>
      <c r="M177" s="185">
        <f>IF(J177&gt;1,J177-K177,0)</f>
        <v>377.75819838523802</v>
      </c>
    </row>
    <row r="178" spans="3:13" ht="18" customHeight="1" x14ac:dyDescent="0.25">
      <c r="C178" s="185">
        <v>11</v>
      </c>
      <c r="D178" s="185">
        <f>+G177</f>
        <v>0</v>
      </c>
      <c r="E178" s="185">
        <f>IF(D178&gt;1,+$G$163-F178,0)</f>
        <v>0</v>
      </c>
      <c r="F178" s="185">
        <f>+D178*$E$163/12*$E$162</f>
        <v>0</v>
      </c>
      <c r="G178" s="185">
        <f>IF(D178&gt;1,D178-E178,0)</f>
        <v>0</v>
      </c>
      <c r="I178" s="185">
        <v>11</v>
      </c>
      <c r="J178" s="185">
        <f>+M177</f>
        <v>377.75819838523802</v>
      </c>
      <c r="K178" s="185">
        <f>IF(J178&gt;1,+$M$163-L178,0)</f>
        <v>19.117180690896497</v>
      </c>
      <c r="L178" s="185">
        <f>+J178*$K$163/12*$K$162</f>
        <v>4.0986764524798325</v>
      </c>
      <c r="M178" s="185">
        <f>IF(J178&gt;1,J178-K178,0)</f>
        <v>358.64101769434154</v>
      </c>
    </row>
    <row r="179" spans="3:13" ht="18" customHeight="1" x14ac:dyDescent="0.25">
      <c r="C179" s="185">
        <v>12</v>
      </c>
      <c r="D179" s="185">
        <f>+G178</f>
        <v>0</v>
      </c>
      <c r="E179" s="185">
        <f>IF(D179&gt;1,+$G$163-F179,0)</f>
        <v>0</v>
      </c>
      <c r="F179" s="185">
        <f>+D179*$E$163/12*$E$162</f>
        <v>0</v>
      </c>
      <c r="G179" s="185">
        <f>IF(D179&gt;1,D179-E179,0)</f>
        <v>0</v>
      </c>
      <c r="I179" s="185">
        <v>12</v>
      </c>
      <c r="J179" s="185">
        <f>+M178</f>
        <v>358.64101769434154</v>
      </c>
      <c r="K179" s="185">
        <f>IF(J179&gt;1,+$M$163-L179,0)</f>
        <v>19.324602101392724</v>
      </c>
      <c r="L179" s="185">
        <f>+J179*$K$163/12*$K$162</f>
        <v>3.8912550419836052</v>
      </c>
      <c r="M179" s="185">
        <f>IF(J179&gt;1,J179-K179,0)</f>
        <v>339.31641559294883</v>
      </c>
    </row>
    <row r="180" spans="3:13" ht="18" customHeight="1" x14ac:dyDescent="0.25">
      <c r="C180" s="182" t="s">
        <v>460</v>
      </c>
      <c r="D180" s="183">
        <v>3</v>
      </c>
      <c r="E180" s="182">
        <f>SUM(E176:E179)</f>
        <v>0</v>
      </c>
      <c r="F180" s="182">
        <f>SUM(F176:F179)</f>
        <v>0</v>
      </c>
      <c r="G180" s="182">
        <f>+G179</f>
        <v>0</v>
      </c>
      <c r="I180" s="182" t="s">
        <v>460</v>
      </c>
      <c r="J180" s="183">
        <v>3</v>
      </c>
      <c r="K180" s="182">
        <f>SUM(K176:K179)</f>
        <v>76.062761510721288</v>
      </c>
      <c r="L180" s="182">
        <f>SUM(L176:L179)</f>
        <v>16.800667062784033</v>
      </c>
      <c r="M180" s="182">
        <f>+M179</f>
        <v>339.31641559294883</v>
      </c>
    </row>
    <row r="181" spans="3:13" ht="18" customHeight="1" x14ac:dyDescent="0.25">
      <c r="C181" s="185">
        <v>13</v>
      </c>
      <c r="D181" s="185">
        <f>+G179</f>
        <v>0</v>
      </c>
      <c r="E181" s="185">
        <f>IF(D181&gt;1,+$G$163-F181,0)</f>
        <v>0</v>
      </c>
      <c r="F181" s="185">
        <f>+D181*$E$163/12*$E$162</f>
        <v>0</v>
      </c>
      <c r="G181" s="185">
        <f>IF(D181&gt;1,D181-E181,0)</f>
        <v>0</v>
      </c>
      <c r="I181" s="185">
        <v>13</v>
      </c>
      <c r="J181" s="185">
        <f>+M179</f>
        <v>339.31641559294883</v>
      </c>
      <c r="K181" s="185">
        <f>IF(J181&gt;1,+$M$163-L181,0)</f>
        <v>19.534274034192833</v>
      </c>
      <c r="L181" s="185">
        <f>+J181*$K$163/12*$K$162</f>
        <v>3.681583109183495</v>
      </c>
      <c r="M181" s="185">
        <f>IF(J181&gt;1,J181-K181,0)</f>
        <v>319.782141558756</v>
      </c>
    </row>
    <row r="182" spans="3:13" ht="18" customHeight="1" x14ac:dyDescent="0.25">
      <c r="C182" s="185">
        <v>14</v>
      </c>
      <c r="D182" s="185">
        <f>+G181</f>
        <v>0</v>
      </c>
      <c r="E182" s="185">
        <f>IF(D182&gt;1,+$G$163-F182,0)</f>
        <v>0</v>
      </c>
      <c r="F182" s="185">
        <f>+D182*$E$163/12*$E$162</f>
        <v>0</v>
      </c>
      <c r="G182" s="185">
        <f>IF(D182&gt;1,D182-E182,0)</f>
        <v>0</v>
      </c>
      <c r="I182" s="185">
        <v>14</v>
      </c>
      <c r="J182" s="185">
        <f>+M181</f>
        <v>319.782141558756</v>
      </c>
      <c r="K182" s="185">
        <f>IF(J182&gt;1,+$M$163-L182,0)</f>
        <v>19.746220907463826</v>
      </c>
      <c r="L182" s="185">
        <f>+J182*$K$163/12*$K$162</f>
        <v>3.4696362359125028</v>
      </c>
      <c r="M182" s="185">
        <f>IF(J182&gt;1,J182-K182,0)</f>
        <v>300.03592065129214</v>
      </c>
    </row>
    <row r="183" spans="3:13" ht="18" customHeight="1" x14ac:dyDescent="0.25">
      <c r="C183" s="185">
        <v>15</v>
      </c>
      <c r="D183" s="185">
        <f>+G182</f>
        <v>0</v>
      </c>
      <c r="E183" s="185">
        <f>IF(D183&gt;1,+$G$163-F183,0)</f>
        <v>0</v>
      </c>
      <c r="F183" s="185">
        <f>+D183*$E$163/12*$E$162</f>
        <v>0</v>
      </c>
      <c r="G183" s="185">
        <f>IF(D183&gt;1,D183-E183,0)</f>
        <v>0</v>
      </c>
      <c r="I183" s="185">
        <v>15</v>
      </c>
      <c r="J183" s="185">
        <f>+M182</f>
        <v>300.03592065129214</v>
      </c>
      <c r="K183" s="185">
        <f>IF(J183&gt;1,+$M$163-L183,0)</f>
        <v>19.96046740430981</v>
      </c>
      <c r="L183" s="185">
        <f>+J183*$K$163/12*$K$162</f>
        <v>3.2553897390665201</v>
      </c>
      <c r="M183" s="185">
        <f>IF(J183&gt;1,J183-K183,0)</f>
        <v>280.07545324698231</v>
      </c>
    </row>
    <row r="184" spans="3:13" ht="18" customHeight="1" x14ac:dyDescent="0.25">
      <c r="C184" s="185">
        <v>16</v>
      </c>
      <c r="D184" s="185">
        <f>+G183</f>
        <v>0</v>
      </c>
      <c r="E184" s="185">
        <f>IF(D184&gt;1,+$G$163-F184,0)</f>
        <v>0</v>
      </c>
      <c r="F184" s="185">
        <f>+D184*$E$163/12*$E$162</f>
        <v>0</v>
      </c>
      <c r="G184" s="185">
        <f>IF(D184&gt;1,D184-E184,0)</f>
        <v>0</v>
      </c>
      <c r="I184" s="185">
        <v>16</v>
      </c>
      <c r="J184" s="185">
        <f>+M183</f>
        <v>280.07545324698231</v>
      </c>
      <c r="K184" s="185">
        <f>IF(J184&gt;1,+$M$163-L184,0)</f>
        <v>20.177038475646569</v>
      </c>
      <c r="L184" s="185">
        <f>+J184*$K$163/12*$K$162</f>
        <v>3.0388186677297586</v>
      </c>
      <c r="M184" s="185">
        <f>IF(J184&gt;1,J184-K184,0)</f>
        <v>259.89841477133575</v>
      </c>
    </row>
    <row r="185" spans="3:13" ht="18" customHeight="1" x14ac:dyDescent="0.25">
      <c r="C185" s="182" t="s">
        <v>460</v>
      </c>
      <c r="D185" s="183">
        <v>4</v>
      </c>
      <c r="E185" s="182">
        <f>SUM(E181:E184)</f>
        <v>0</v>
      </c>
      <c r="F185" s="182">
        <f>SUM(F181:F184)</f>
        <v>0</v>
      </c>
      <c r="G185" s="182">
        <f>+G184</f>
        <v>0</v>
      </c>
      <c r="I185" s="182" t="s">
        <v>460</v>
      </c>
      <c r="J185" s="183">
        <v>4</v>
      </c>
      <c r="K185" s="182">
        <f>SUM(K181:K184)</f>
        <v>79.418000821613035</v>
      </c>
      <c r="L185" s="182">
        <f>SUM(L181:L184)</f>
        <v>13.445427751892277</v>
      </c>
      <c r="M185" s="182">
        <f>+M184</f>
        <v>259.89841477133575</v>
      </c>
    </row>
    <row r="186" spans="3:13" ht="18" customHeight="1" x14ac:dyDescent="0.25">
      <c r="C186" s="185">
        <v>17</v>
      </c>
      <c r="D186" s="185">
        <f>+G184</f>
        <v>0</v>
      </c>
      <c r="E186" s="185">
        <f>IF(D186&gt;1,+$G$163-F186,0)</f>
        <v>0</v>
      </c>
      <c r="F186" s="185">
        <f>+D186*$E$163/12*$E$162</f>
        <v>0</v>
      </c>
      <c r="G186" s="185">
        <f>IF(D186&gt;1,D186-E186,0)</f>
        <v>0</v>
      </c>
      <c r="I186" s="185">
        <v>17</v>
      </c>
      <c r="J186" s="185">
        <f>+M184</f>
        <v>259.89841477133575</v>
      </c>
      <c r="K186" s="185">
        <f>IF(J186&gt;1,+$M$163-L186,0)</f>
        <v>20.395959343107336</v>
      </c>
      <c r="L186" s="185">
        <f>+J186*$K$163/12*$K$162</f>
        <v>2.8198978002689929</v>
      </c>
      <c r="M186" s="185">
        <f>IF(J186&gt;1,J186-K186,0)</f>
        <v>239.50245542822842</v>
      </c>
    </row>
    <row r="187" spans="3:13" ht="18" customHeight="1" x14ac:dyDescent="0.25">
      <c r="C187" s="185">
        <v>18</v>
      </c>
      <c r="D187" s="185">
        <f>+G186</f>
        <v>0</v>
      </c>
      <c r="E187" s="185">
        <f>IF(D187&gt;1,+$G$163-F187,0)</f>
        <v>0</v>
      </c>
      <c r="F187" s="185">
        <f>+D187*$E$163/12*$E$162</f>
        <v>0</v>
      </c>
      <c r="G187" s="185">
        <f>IF(D187&gt;1,D187-E187,0)</f>
        <v>0</v>
      </c>
      <c r="I187" s="185">
        <v>18</v>
      </c>
      <c r="J187" s="185">
        <f>+M186</f>
        <v>239.50245542822842</v>
      </c>
      <c r="K187" s="185">
        <f>IF(J187&gt;1,+$M$163-L187,0)</f>
        <v>20.617255501980051</v>
      </c>
      <c r="L187" s="185">
        <f>+J187*$K$163/12*$K$162</f>
        <v>2.5986016413962783</v>
      </c>
      <c r="M187" s="185">
        <f>IF(J187&gt;1,J187-K187,0)</f>
        <v>218.88519992624836</v>
      </c>
    </row>
    <row r="188" spans="3:13" ht="18" customHeight="1" x14ac:dyDescent="0.25">
      <c r="C188" s="185">
        <v>19</v>
      </c>
      <c r="D188" s="185">
        <f>+G187</f>
        <v>0</v>
      </c>
      <c r="E188" s="185">
        <f>IF(D188&gt;1,+$G$163-F188,0)</f>
        <v>0</v>
      </c>
      <c r="F188" s="185">
        <f>+D188*$E$163/12*$E$162</f>
        <v>0</v>
      </c>
      <c r="G188" s="185">
        <f>IF(D188&gt;1,D188-E188,0)</f>
        <v>0</v>
      </c>
      <c r="I188" s="185">
        <v>19</v>
      </c>
      <c r="J188" s="185">
        <f>+M187</f>
        <v>218.88519992624836</v>
      </c>
      <c r="K188" s="185">
        <f>IF(J188&gt;1,+$M$163-L188,0)</f>
        <v>20.840952724176535</v>
      </c>
      <c r="L188" s="185">
        <f>+J188*$K$163/12*$K$162</f>
        <v>2.3749044191997948</v>
      </c>
      <c r="M188" s="185">
        <f>IF(J188&gt;1,J188-K188,0)</f>
        <v>198.04424720207183</v>
      </c>
    </row>
    <row r="189" spans="3:13" ht="18" customHeight="1" x14ac:dyDescent="0.25">
      <c r="C189" s="185">
        <v>20</v>
      </c>
      <c r="D189" s="185">
        <f>+G188</f>
        <v>0</v>
      </c>
      <c r="E189" s="185">
        <f>IF(D189&gt;1,+$G$163-F189,0)</f>
        <v>0</v>
      </c>
      <c r="F189" s="185">
        <f>+D189*$E$163/12*$E$162</f>
        <v>0</v>
      </c>
      <c r="G189" s="185">
        <f>IF(D189&gt;1,D189-E189,0)</f>
        <v>0</v>
      </c>
      <c r="I189" s="185">
        <v>20</v>
      </c>
      <c r="J189" s="185">
        <f>+M188</f>
        <v>198.04424720207183</v>
      </c>
      <c r="K189" s="185">
        <f>IF(J189&gt;1,+$M$163-L189,0)</f>
        <v>21.067077061233849</v>
      </c>
      <c r="L189" s="185">
        <f>+J189*$K$163/12*$K$162</f>
        <v>2.1487800821424794</v>
      </c>
      <c r="M189" s="185">
        <f>IF(J189&gt;1,J189-K189,0)</f>
        <v>176.97717014083798</v>
      </c>
    </row>
    <row r="190" spans="3:13" ht="18" customHeight="1" x14ac:dyDescent="0.25">
      <c r="C190" s="182" t="s">
        <v>460</v>
      </c>
      <c r="D190" s="183">
        <v>5</v>
      </c>
      <c r="E190" s="182">
        <f>SUM(E186:E189)</f>
        <v>0</v>
      </c>
      <c r="F190" s="182">
        <f>SUM(F186:F189)</f>
        <v>0</v>
      </c>
      <c r="G190" s="182">
        <f>+G189</f>
        <v>0</v>
      </c>
      <c r="I190" s="182" t="s">
        <v>460</v>
      </c>
      <c r="J190" s="183">
        <v>5</v>
      </c>
      <c r="K190" s="182">
        <f>SUM(K186:K189)</f>
        <v>82.921244630497768</v>
      </c>
      <c r="L190" s="182">
        <f>SUM(L186:L189)</f>
        <v>9.9421839430075458</v>
      </c>
      <c r="M190" s="182">
        <f>+M189</f>
        <v>176.97717014083798</v>
      </c>
    </row>
    <row r="191" spans="3:13" ht="18" customHeight="1" x14ac:dyDescent="0.25">
      <c r="C191" s="185">
        <v>21</v>
      </c>
      <c r="D191" s="185">
        <f>+G189</f>
        <v>0</v>
      </c>
      <c r="E191" s="185">
        <f>IF(D191&gt;1,+$G$163-F191,0)</f>
        <v>0</v>
      </c>
      <c r="F191" s="185">
        <f>+D191*$E$163/12*$E$162</f>
        <v>0</v>
      </c>
      <c r="G191" s="185">
        <f>IF(D191&gt;1,D191-E191,0)</f>
        <v>0</v>
      </c>
      <c r="I191" s="185">
        <v>21</v>
      </c>
      <c r="J191" s="185">
        <f>+M189</f>
        <v>176.97717014083798</v>
      </c>
      <c r="K191" s="185">
        <f>IF(J191&gt;1,+$M$163-L191,0)</f>
        <v>21.295654847348239</v>
      </c>
      <c r="L191" s="185">
        <f>+J191*$K$163/12*$K$162</f>
        <v>1.9202022960280924</v>
      </c>
      <c r="M191" s="185">
        <f>IF(J191&gt;1,J191-K191,0)</f>
        <v>155.68151529348975</v>
      </c>
    </row>
    <row r="192" spans="3:13" ht="18" customHeight="1" x14ac:dyDescent="0.25">
      <c r="C192" s="185">
        <v>22</v>
      </c>
      <c r="D192" s="185">
        <f>+G191</f>
        <v>0</v>
      </c>
      <c r="E192" s="185">
        <f>IF(D192&gt;1,+$G$163-F192,0)</f>
        <v>0</v>
      </c>
      <c r="F192" s="185">
        <f>+D192*$E$163/12*$E$162</f>
        <v>0</v>
      </c>
      <c r="G192" s="185">
        <f>IF(D192&gt;1,D192-E192,0)</f>
        <v>0</v>
      </c>
      <c r="I192" s="185">
        <v>22</v>
      </c>
      <c r="J192" s="185">
        <f>+M191</f>
        <v>155.68151529348975</v>
      </c>
      <c r="K192" s="185">
        <f>IF(J192&gt;1,+$M$163-L192,0)</f>
        <v>21.526712702441966</v>
      </c>
      <c r="L192" s="185">
        <f>+J192*$K$163/12*$K$162</f>
        <v>1.6891444409343639</v>
      </c>
      <c r="M192" s="185">
        <f>IF(J192&gt;1,J192-K192,0)</f>
        <v>134.1548025910478</v>
      </c>
    </row>
    <row r="193" spans="3:13" ht="18" customHeight="1" x14ac:dyDescent="0.25">
      <c r="C193" s="185">
        <v>23</v>
      </c>
      <c r="D193" s="185">
        <f>+G192</f>
        <v>0</v>
      </c>
      <c r="E193" s="185">
        <f>IF(D193&gt;1,+$G$163-F193,0)</f>
        <v>0</v>
      </c>
      <c r="F193" s="185">
        <f>+D193*$E$163/12*$E$162</f>
        <v>0</v>
      </c>
      <c r="G193" s="185">
        <f>IF(D193&gt;1,D193-E193,0)</f>
        <v>0</v>
      </c>
      <c r="I193" s="185">
        <v>23</v>
      </c>
      <c r="J193" s="185">
        <f>+M192</f>
        <v>134.1548025910478</v>
      </c>
      <c r="K193" s="185">
        <f>IF(J193&gt;1,+$M$163-L193,0)</f>
        <v>21.760277535263462</v>
      </c>
      <c r="L193" s="185">
        <f>+J193*$K$163/12*$K$162</f>
        <v>1.4555796081128687</v>
      </c>
      <c r="M193" s="185">
        <f>IF(J193&gt;1,J193-K193,0)</f>
        <v>112.39452505578433</v>
      </c>
    </row>
    <row r="194" spans="3:13" ht="18" customHeight="1" x14ac:dyDescent="0.25">
      <c r="C194" s="185">
        <v>24</v>
      </c>
      <c r="D194" s="185">
        <f>+G193</f>
        <v>0</v>
      </c>
      <c r="E194" s="185">
        <f>IF(D194&gt;1,+$G$163-F194,0)</f>
        <v>0</v>
      </c>
      <c r="F194" s="185">
        <f>+D194*$E$163/12*$E$162</f>
        <v>0</v>
      </c>
      <c r="G194" s="185">
        <f>IF(D194&gt;1,D194-E194,0)</f>
        <v>0</v>
      </c>
      <c r="I194" s="185">
        <v>24</v>
      </c>
      <c r="J194" s="185">
        <f>+M193</f>
        <v>112.39452505578433</v>
      </c>
      <c r="K194" s="185">
        <f>IF(J194&gt;1,+$M$163-L194,0)</f>
        <v>21.99637654652107</v>
      </c>
      <c r="L194" s="185">
        <f>+J194*$K$163/12*$K$162</f>
        <v>1.21948059685526</v>
      </c>
      <c r="M194" s="185">
        <f>IF(J194&gt;1,J194-K194,0)</f>
        <v>90.398148509263251</v>
      </c>
    </row>
    <row r="195" spans="3:13" ht="18" customHeight="1" x14ac:dyDescent="0.25">
      <c r="C195" s="182" t="s">
        <v>460</v>
      </c>
      <c r="D195" s="183">
        <v>6</v>
      </c>
      <c r="E195" s="182">
        <f>SUM(E191:E194)</f>
        <v>0</v>
      </c>
      <c r="F195" s="182">
        <f>SUM(F191:F194)</f>
        <v>0</v>
      </c>
      <c r="G195" s="182">
        <f>+G194</f>
        <v>0</v>
      </c>
      <c r="I195" s="182" t="s">
        <v>460</v>
      </c>
      <c r="J195" s="183">
        <v>6</v>
      </c>
      <c r="K195" s="182">
        <f>SUM(K191:K194)</f>
        <v>86.579021631574733</v>
      </c>
      <c r="L195" s="182">
        <f>SUM(L191:L194)</f>
        <v>6.2844069419305848</v>
      </c>
      <c r="M195" s="182">
        <f>+M194</f>
        <v>90.398148509263251</v>
      </c>
    </row>
    <row r="196" spans="3:13" ht="18" customHeight="1" x14ac:dyDescent="0.25">
      <c r="C196" s="185">
        <v>25</v>
      </c>
      <c r="D196" s="185">
        <f>+G194</f>
        <v>0</v>
      </c>
      <c r="E196" s="185">
        <f>IF(D196&gt;1,+$G$163-F196,0)</f>
        <v>0</v>
      </c>
      <c r="F196" s="185">
        <f>+D196*$E$163/12*$E$162</f>
        <v>0</v>
      </c>
      <c r="G196" s="185">
        <f>IF(D196&gt;1,D196-E196,0)</f>
        <v>0</v>
      </c>
      <c r="I196" s="185">
        <v>25</v>
      </c>
      <c r="J196" s="185">
        <f>+M194</f>
        <v>90.398148509263251</v>
      </c>
      <c r="K196" s="185">
        <f>IF(J196&gt;1,+$M$163-L196,0)</f>
        <v>22.235037232050821</v>
      </c>
      <c r="L196" s="185">
        <f>+J196*$K$163/12*$K$162</f>
        <v>0.98081991132550628</v>
      </c>
      <c r="M196" s="185">
        <f>IF(J196&gt;1,J196-K196,0)</f>
        <v>68.163111277212437</v>
      </c>
    </row>
    <row r="197" spans="3:13" ht="18" customHeight="1" x14ac:dyDescent="0.25">
      <c r="C197" s="185">
        <v>26</v>
      </c>
      <c r="D197" s="185">
        <f>+G196</f>
        <v>0</v>
      </c>
      <c r="E197" s="185">
        <f>IF(D197&gt;1,+$G$163-F197,0)</f>
        <v>0</v>
      </c>
      <c r="F197" s="185">
        <f>+D197*$E$163/12*$E$162</f>
        <v>0</v>
      </c>
      <c r="G197" s="185">
        <f>IF(D197&gt;1,D197-E197,0)</f>
        <v>0</v>
      </c>
      <c r="I197" s="185">
        <v>26</v>
      </c>
      <c r="J197" s="185">
        <f>+M196</f>
        <v>68.163111277212437</v>
      </c>
      <c r="K197" s="185">
        <f>IF(J197&gt;1,+$M$163-L197,0)</f>
        <v>22.476287386018573</v>
      </c>
      <c r="L197" s="185">
        <f>+J197*$K$163/12*$K$162</f>
        <v>0.73956975735775499</v>
      </c>
      <c r="M197" s="185">
        <f>IF(J197&gt;1,J197-K197,0)</f>
        <v>45.686823891193868</v>
      </c>
    </row>
    <row r="198" spans="3:13" ht="18" customHeight="1" x14ac:dyDescent="0.25">
      <c r="C198" s="185">
        <v>27</v>
      </c>
      <c r="D198" s="185">
        <f>+G197</f>
        <v>0</v>
      </c>
      <c r="E198" s="185">
        <f>IF(D198&gt;1,+$G$163-F198,0)</f>
        <v>0</v>
      </c>
      <c r="F198" s="185">
        <f>+D198*$E$163/12*$E$162</f>
        <v>0</v>
      </c>
      <c r="G198" s="185">
        <f>IF(D198&gt;1,D198-E198,0)</f>
        <v>0</v>
      </c>
      <c r="I198" s="185">
        <v>27</v>
      </c>
      <c r="J198" s="185">
        <f>+M197</f>
        <v>45.686823891193868</v>
      </c>
      <c r="K198" s="185">
        <f>IF(J198&gt;1,+$M$163-L198,0)</f>
        <v>22.720155104156877</v>
      </c>
      <c r="L198" s="185">
        <f>+J198*$K$163/12*$K$162</f>
        <v>0.49570203921945349</v>
      </c>
      <c r="M198" s="185">
        <f>IF(J198&gt;1,J198-K198,0)</f>
        <v>22.966668787036991</v>
      </c>
    </row>
    <row r="199" spans="3:13" ht="18" customHeight="1" x14ac:dyDescent="0.25">
      <c r="C199" s="185">
        <v>28</v>
      </c>
      <c r="D199" s="185">
        <f>+G198</f>
        <v>0</v>
      </c>
      <c r="E199" s="185">
        <f>IF(D199&gt;1,+$G$163-F199,0)</f>
        <v>0</v>
      </c>
      <c r="F199" s="185">
        <f>+D199*$E$163/12*$E$162</f>
        <v>0</v>
      </c>
      <c r="G199" s="185">
        <f>IF(D199&gt;1,D199-E199,0)</f>
        <v>0</v>
      </c>
      <c r="I199" s="185">
        <v>28</v>
      </c>
      <c r="J199" s="185">
        <f>+M198</f>
        <v>22.966668787036991</v>
      </c>
      <c r="K199" s="185">
        <f>IF(J199&gt;1,+$M$163-L199,0)</f>
        <v>22.966668787036976</v>
      </c>
      <c r="L199" s="185">
        <f>+J199*$K$163/12*$K$162</f>
        <v>0.24918835633935132</v>
      </c>
      <c r="M199" s="185">
        <f>IF(J199&gt;1,J199-K199,0)</f>
        <v>1.4210854715202004E-14</v>
      </c>
    </row>
    <row r="200" spans="3:13" ht="18" customHeight="1" x14ac:dyDescent="0.25">
      <c r="C200" s="182" t="s">
        <v>460</v>
      </c>
      <c r="D200" s="183">
        <v>7</v>
      </c>
      <c r="E200" s="182">
        <f>SUM(E196:E199)</f>
        <v>0</v>
      </c>
      <c r="F200" s="182">
        <f>SUM(F196:F199)</f>
        <v>0</v>
      </c>
      <c r="G200" s="182">
        <f>+G199</f>
        <v>0</v>
      </c>
      <c r="I200" s="182" t="s">
        <v>460</v>
      </c>
      <c r="J200" s="183">
        <v>7</v>
      </c>
      <c r="K200" s="182">
        <f>SUM(K196:K199)</f>
        <v>90.398148509263251</v>
      </c>
      <c r="L200" s="182">
        <f>SUM(L196:L199)</f>
        <v>2.4652800642420658</v>
      </c>
      <c r="M200" s="182">
        <f>+M199</f>
        <v>1.4210854715202004E-14</v>
      </c>
    </row>
    <row r="201" spans="3:13" ht="18" customHeight="1" x14ac:dyDescent="0.25"/>
    <row r="202" spans="3:13" ht="18" customHeight="1" x14ac:dyDescent="0.25">
      <c r="C202" s="344" t="s">
        <v>465</v>
      </c>
      <c r="D202" s="293"/>
      <c r="E202" s="293"/>
      <c r="F202" s="293"/>
      <c r="G202" s="294"/>
      <c r="H202" s="171"/>
      <c r="I202" s="81"/>
      <c r="J202" s="117"/>
    </row>
    <row r="203" spans="3:13" ht="18" customHeight="1" x14ac:dyDescent="0.25">
      <c r="C203" s="182" t="s">
        <v>446</v>
      </c>
      <c r="D203" s="53"/>
      <c r="E203" s="182">
        <f>APRI!B95-APRI!F95</f>
        <v>0</v>
      </c>
      <c r="F203" s="182" t="s">
        <v>447</v>
      </c>
      <c r="G203" s="117"/>
      <c r="H203" s="172"/>
      <c r="J203" s="118"/>
    </row>
    <row r="204" spans="3:13" ht="18" customHeight="1" x14ac:dyDescent="0.25">
      <c r="C204" s="185" t="s">
        <v>448</v>
      </c>
      <c r="D204" s="81"/>
      <c r="E204" s="185">
        <f>APRI!C95</f>
        <v>5</v>
      </c>
      <c r="F204" s="185" t="s">
        <v>449</v>
      </c>
      <c r="G204" s="185">
        <f>+G206*(12/E205)</f>
        <v>0</v>
      </c>
      <c r="H204" s="172"/>
      <c r="J204" s="118"/>
    </row>
    <row r="205" spans="3:13" ht="18" customHeight="1" x14ac:dyDescent="0.25">
      <c r="C205" s="182" t="s">
        <v>450</v>
      </c>
      <c r="D205" s="15"/>
      <c r="E205" s="182">
        <v>3</v>
      </c>
      <c r="F205" s="182" t="s">
        <v>451</v>
      </c>
      <c r="G205" s="182">
        <f>+E204*(12/E205)</f>
        <v>20</v>
      </c>
      <c r="H205" s="342" t="s">
        <v>466</v>
      </c>
      <c r="I205" s="293"/>
      <c r="J205" s="294"/>
    </row>
    <row r="206" spans="3:13" ht="18" customHeight="1" x14ac:dyDescent="0.25">
      <c r="C206" s="185" t="s">
        <v>452</v>
      </c>
      <c r="D206" s="53"/>
      <c r="E206" s="194">
        <f>APRI!D95</f>
        <v>4.3400000000000001E-2</v>
      </c>
      <c r="F206" s="185" t="s">
        <v>464</v>
      </c>
      <c r="G206" s="185">
        <f>PMT(E206/(12/E205),G205,-E203)</f>
        <v>0</v>
      </c>
      <c r="H206" s="172"/>
      <c r="J206" s="118"/>
    </row>
    <row r="207" spans="3:13" ht="18" customHeight="1" x14ac:dyDescent="0.25">
      <c r="C207" s="182" t="s">
        <v>454</v>
      </c>
      <c r="D207" s="182" t="s">
        <v>446</v>
      </c>
      <c r="E207" s="182" t="s">
        <v>455</v>
      </c>
      <c r="F207" s="169"/>
      <c r="G207" s="182" t="s">
        <v>456</v>
      </c>
      <c r="H207" s="182" t="s">
        <v>455</v>
      </c>
      <c r="I207" s="169"/>
      <c r="J207" s="182" t="s">
        <v>243</v>
      </c>
    </row>
    <row r="208" spans="3:13" ht="18" customHeight="1" x14ac:dyDescent="0.25">
      <c r="C208" s="185" t="s">
        <v>457</v>
      </c>
      <c r="D208" s="185" t="s">
        <v>458</v>
      </c>
      <c r="E208" s="185" t="s">
        <v>446</v>
      </c>
      <c r="F208" s="185" t="s">
        <v>459</v>
      </c>
      <c r="G208" s="185" t="s">
        <v>384</v>
      </c>
      <c r="H208" s="185" t="s">
        <v>446</v>
      </c>
      <c r="I208" s="185" t="s">
        <v>459</v>
      </c>
      <c r="J208" s="185" t="s">
        <v>467</v>
      </c>
    </row>
    <row r="209" spans="2:10" ht="18" customHeight="1" x14ac:dyDescent="0.25">
      <c r="B209" s="185">
        <f>IF(APRI!$C$9=12,1,0)</f>
        <v>1</v>
      </c>
      <c r="C209" s="185">
        <v>1</v>
      </c>
      <c r="D209" s="185">
        <f>+E203</f>
        <v>0</v>
      </c>
      <c r="E209" s="185">
        <f>IF(B209=0,0,+$G$206-F209)</f>
        <v>0</v>
      </c>
      <c r="F209" s="185">
        <f>IF(B209=0,0,+D209*$E$206/12*$E$205)</f>
        <v>0</v>
      </c>
      <c r="G209" s="185">
        <f>IF(D209&gt;1,D209-E209,0)</f>
        <v>0</v>
      </c>
      <c r="H209" s="172"/>
      <c r="J209" s="118"/>
    </row>
    <row r="210" spans="2:10" ht="18" customHeight="1" x14ac:dyDescent="0.25">
      <c r="B210" s="185">
        <f>IF(APRI!$C$9&gt;=9,1,0)</f>
        <v>1</v>
      </c>
      <c r="C210" s="185">
        <f>+C209+1</f>
        <v>2</v>
      </c>
      <c r="D210" s="185">
        <f>+G209</f>
        <v>0</v>
      </c>
      <c r="E210" s="185">
        <f>IF(B210=0,0,+$G$206-F210)</f>
        <v>0</v>
      </c>
      <c r="F210" s="185">
        <f>IF(B210=0,0,+D210*$E$206/12*$E$205)</f>
        <v>0</v>
      </c>
      <c r="G210" s="185">
        <f>IF(D210&gt;1,D210-E210,0)</f>
        <v>0</v>
      </c>
      <c r="H210" s="172"/>
      <c r="J210" s="118"/>
    </row>
    <row r="211" spans="2:10" ht="18" customHeight="1" x14ac:dyDescent="0.25">
      <c r="B211" s="185">
        <f>IF(APRI!$C$9&gt;=6,1,0)</f>
        <v>1</v>
      </c>
      <c r="C211" s="185">
        <f>+C210+1</f>
        <v>3</v>
      </c>
      <c r="D211" s="185">
        <f>IF(B211=0,0,+G210)</f>
        <v>0</v>
      </c>
      <c r="E211" s="185">
        <f>IF(B211=0,0,+$G$206-F211)</f>
        <v>0</v>
      </c>
      <c r="F211" s="185">
        <f>IF(B211=0,0,+D211*$E$206/12*$E$205)</f>
        <v>0</v>
      </c>
      <c r="G211" s="185">
        <f>IF(D211&gt;1,D211-E211,0)</f>
        <v>0</v>
      </c>
      <c r="H211" s="172"/>
      <c r="J211" s="118"/>
    </row>
    <row r="212" spans="2:10" ht="18" customHeight="1" x14ac:dyDescent="0.25">
      <c r="B212" s="185">
        <f>IF(APRI!$C$9&gt;=3,1,0)</f>
        <v>1</v>
      </c>
      <c r="C212" s="185">
        <f>+C211+1</f>
        <v>4</v>
      </c>
      <c r="D212" s="185">
        <f>+G211</f>
        <v>0</v>
      </c>
      <c r="E212" s="185">
        <f>IF(B212=0,0,+$G$206-F212)</f>
        <v>0</v>
      </c>
      <c r="F212" s="185">
        <f>IF(B212=0,0,+D212*$E$206/12*$E$205)</f>
        <v>0</v>
      </c>
      <c r="G212" s="185">
        <f>IF(D212&gt;1,D212-E212,0)</f>
        <v>0</v>
      </c>
      <c r="H212" s="172"/>
      <c r="J212" s="118"/>
    </row>
    <row r="213" spans="2:10" ht="18" customHeight="1" x14ac:dyDescent="0.25">
      <c r="C213" s="182" t="s">
        <v>460</v>
      </c>
      <c r="D213" s="183">
        <v>1</v>
      </c>
      <c r="E213" s="182">
        <f>SUM(E209:E212)</f>
        <v>0</v>
      </c>
      <c r="F213" s="182">
        <f>SUM(F209:F212)</f>
        <v>0</v>
      </c>
      <c r="G213" s="182">
        <f>+G212</f>
        <v>0</v>
      </c>
      <c r="H213" s="182">
        <f>+E213+K170+E170</f>
        <v>69.771549069452675</v>
      </c>
      <c r="I213" s="182">
        <f>+F213+L170+F170</f>
        <v>23.091879504052653</v>
      </c>
      <c r="J213" s="182">
        <f>+H213+I213</f>
        <v>92.863428573505331</v>
      </c>
    </row>
    <row r="214" spans="2:10" ht="18" customHeight="1" x14ac:dyDescent="0.25">
      <c r="C214" s="185">
        <f>+C212+1</f>
        <v>5</v>
      </c>
      <c r="D214" s="185">
        <f>+G212</f>
        <v>0</v>
      </c>
      <c r="E214" s="185">
        <f>IF(D214&gt;1,+$G$206-F214,0)</f>
        <v>0</v>
      </c>
      <c r="F214" s="185">
        <f>+D214*$E$206/12*$E$205</f>
        <v>0</v>
      </c>
      <c r="G214" s="185">
        <f>IF(D214&gt;1,D214-E214,0)</f>
        <v>0</v>
      </c>
      <c r="H214" s="172"/>
      <c r="J214" s="118"/>
    </row>
    <row r="215" spans="2:10" ht="18" customHeight="1" x14ac:dyDescent="0.25">
      <c r="C215" s="185">
        <f>+C214+1</f>
        <v>6</v>
      </c>
      <c r="D215" s="185">
        <f>+G214</f>
        <v>0</v>
      </c>
      <c r="E215" s="185">
        <f>IF(D215&gt;1,+$G$206-F215,0)</f>
        <v>0</v>
      </c>
      <c r="F215" s="185">
        <f>+D215*$E$206/12*$E$205</f>
        <v>0</v>
      </c>
      <c r="G215" s="185">
        <f>IF(D215&gt;1,D215-E215,0)</f>
        <v>0</v>
      </c>
      <c r="H215" s="172"/>
      <c r="J215" s="118"/>
    </row>
    <row r="216" spans="2:10" ht="18" customHeight="1" x14ac:dyDescent="0.25">
      <c r="C216" s="185">
        <v>7</v>
      </c>
      <c r="D216" s="185">
        <f>+G215</f>
        <v>0</v>
      </c>
      <c r="E216" s="185">
        <f>IF(D216&gt;1,+$G$206-F216,0)</f>
        <v>0</v>
      </c>
      <c r="F216" s="185">
        <f>+D216*$E$206/12*$E$205</f>
        <v>0</v>
      </c>
      <c r="G216" s="185">
        <f>IF(D216&gt;1,D216-E216,0)</f>
        <v>0</v>
      </c>
      <c r="H216" s="172"/>
      <c r="J216" s="118"/>
    </row>
    <row r="217" spans="2:10" ht="18" customHeight="1" x14ac:dyDescent="0.25">
      <c r="C217" s="185">
        <v>8</v>
      </c>
      <c r="D217" s="185">
        <f>+G216</f>
        <v>0</v>
      </c>
      <c r="E217" s="185">
        <f>IF(D217&gt;1,+$G$206-F217,0)</f>
        <v>0</v>
      </c>
      <c r="F217" s="185">
        <f>+D217*$E$206/12*$E$205</f>
        <v>0</v>
      </c>
      <c r="G217" s="185">
        <f>IF(D217&gt;1,D217-E217,0)</f>
        <v>0</v>
      </c>
      <c r="H217" s="172"/>
      <c r="J217" s="118"/>
    </row>
    <row r="218" spans="2:10" ht="18" customHeight="1" x14ac:dyDescent="0.25">
      <c r="C218" s="182" t="s">
        <v>460</v>
      </c>
      <c r="D218" s="183">
        <v>2</v>
      </c>
      <c r="E218" s="182">
        <f>SUM(E214:E217)</f>
        <v>0</v>
      </c>
      <c r="F218" s="182">
        <f>SUM(F214:F217)</f>
        <v>0</v>
      </c>
      <c r="G218" s="182">
        <f>+G217</f>
        <v>0</v>
      </c>
      <c r="H218" s="182">
        <f>+E218+K175+E175</f>
        <v>72.849273826877408</v>
      </c>
      <c r="I218" s="182">
        <f>+F218+L175+F175</f>
        <v>20.014154746627909</v>
      </c>
      <c r="J218" s="182">
        <f>+H218+I218</f>
        <v>92.863428573505317</v>
      </c>
    </row>
    <row r="219" spans="2:10" ht="18" customHeight="1" x14ac:dyDescent="0.25">
      <c r="C219" s="185">
        <v>9</v>
      </c>
      <c r="D219" s="185">
        <f>+G217</f>
        <v>0</v>
      </c>
      <c r="E219" s="185">
        <f>IF(D219&gt;1,+$G$206-F219,0)</f>
        <v>0</v>
      </c>
      <c r="F219" s="185">
        <f>+D219*$E$206/12*$E$205</f>
        <v>0</v>
      </c>
      <c r="G219" s="185">
        <f>IF(D219&gt;1,D219-E219,0)</f>
        <v>0</v>
      </c>
      <c r="H219" s="172"/>
      <c r="J219" s="118"/>
    </row>
    <row r="220" spans="2:10" ht="18" customHeight="1" x14ac:dyDescent="0.25">
      <c r="C220" s="185">
        <v>10</v>
      </c>
      <c r="D220" s="185">
        <f>+G219</f>
        <v>0</v>
      </c>
      <c r="E220" s="185">
        <f>IF(D220&gt;1,+$G$206-F220,0)</f>
        <v>0</v>
      </c>
      <c r="F220" s="185">
        <f>+D220*$E$206/12*$E$205</f>
        <v>0</v>
      </c>
      <c r="G220" s="185">
        <f>IF(D220&gt;1,D220-E220,0)</f>
        <v>0</v>
      </c>
      <c r="H220" s="172"/>
      <c r="J220" s="118"/>
    </row>
    <row r="221" spans="2:10" ht="18" customHeight="1" x14ac:dyDescent="0.25">
      <c r="C221" s="185">
        <v>11</v>
      </c>
      <c r="D221" s="185">
        <f>+G220</f>
        <v>0</v>
      </c>
      <c r="E221" s="185">
        <f>IF(D221&gt;1,+$G$206-F221,0)</f>
        <v>0</v>
      </c>
      <c r="F221" s="185">
        <f>+D221*$E$206/12*$E$205</f>
        <v>0</v>
      </c>
      <c r="G221" s="185">
        <f>IF(D221&gt;1,D221-E221,0)</f>
        <v>0</v>
      </c>
      <c r="H221" s="172"/>
      <c r="J221" s="118"/>
    </row>
    <row r="222" spans="2:10" ht="18" customHeight="1" x14ac:dyDescent="0.25">
      <c r="C222" s="185">
        <v>12</v>
      </c>
      <c r="D222" s="185">
        <f>+G221</f>
        <v>0</v>
      </c>
      <c r="E222" s="185">
        <f>IF(D222&gt;1,+$G$206-F222,0)</f>
        <v>0</v>
      </c>
      <c r="F222" s="185">
        <f>+D222*$E$206/12*$E$205</f>
        <v>0</v>
      </c>
      <c r="G222" s="185">
        <f>IF(D222&gt;1,D222-E222,0)</f>
        <v>0</v>
      </c>
      <c r="H222" s="172"/>
      <c r="J222" s="118"/>
    </row>
    <row r="223" spans="2:10" ht="18" customHeight="1" x14ac:dyDescent="0.25">
      <c r="C223" s="182" t="s">
        <v>460</v>
      </c>
      <c r="D223" s="183">
        <v>3</v>
      </c>
      <c r="E223" s="182">
        <f>SUM(E219:E222)</f>
        <v>0</v>
      </c>
      <c r="F223" s="182">
        <f>SUM(F219:F222)</f>
        <v>0</v>
      </c>
      <c r="G223" s="182">
        <f>+G222</f>
        <v>0</v>
      </c>
      <c r="H223" s="182">
        <f>+E223+K180+E180</f>
        <v>76.062761510721288</v>
      </c>
      <c r="I223" s="182">
        <f>+F223+L180+F180</f>
        <v>16.800667062784033</v>
      </c>
      <c r="J223" s="182">
        <f>+H223+I223</f>
        <v>92.863428573505317</v>
      </c>
    </row>
    <row r="224" spans="2:10" ht="18" customHeight="1" x14ac:dyDescent="0.25">
      <c r="C224" s="185">
        <v>13</v>
      </c>
      <c r="D224" s="185">
        <f>+G222</f>
        <v>0</v>
      </c>
      <c r="E224" s="185">
        <f>IF(D224&gt;1,+$G$206-F224,0)</f>
        <v>0</v>
      </c>
      <c r="F224" s="185">
        <f>+D224*$E$206/12*$E$205</f>
        <v>0</v>
      </c>
      <c r="G224" s="185">
        <f>IF(D224&gt;1,D224-E224,0)</f>
        <v>0</v>
      </c>
      <c r="H224" s="172"/>
      <c r="J224" s="118"/>
    </row>
    <row r="225" spans="3:10" ht="18" customHeight="1" x14ac:dyDescent="0.25">
      <c r="C225" s="185">
        <v>14</v>
      </c>
      <c r="D225" s="185">
        <f>+G224</f>
        <v>0</v>
      </c>
      <c r="E225" s="185">
        <f>IF(D225&gt;1,+$G$206-F225,0)</f>
        <v>0</v>
      </c>
      <c r="F225" s="185">
        <f>+D225*$E$206/12*$E$205</f>
        <v>0</v>
      </c>
      <c r="G225" s="185">
        <f>IF(D225&gt;1,D225-E225,0)</f>
        <v>0</v>
      </c>
      <c r="H225" s="172"/>
      <c r="J225" s="118"/>
    </row>
    <row r="226" spans="3:10" ht="18" customHeight="1" x14ac:dyDescent="0.25">
      <c r="C226" s="185">
        <v>15</v>
      </c>
      <c r="D226" s="185">
        <f>+G225</f>
        <v>0</v>
      </c>
      <c r="E226" s="185">
        <f>IF(D226&gt;1,+$G$206-F226,0)</f>
        <v>0</v>
      </c>
      <c r="F226" s="185">
        <f>+D226*$E$206/12*$E$205</f>
        <v>0</v>
      </c>
      <c r="G226" s="185">
        <f>IF(D226&gt;1,D226-E226,0)</f>
        <v>0</v>
      </c>
      <c r="H226" s="172"/>
      <c r="J226" s="118"/>
    </row>
    <row r="227" spans="3:10" ht="18" customHeight="1" x14ac:dyDescent="0.25">
      <c r="C227" s="185">
        <v>16</v>
      </c>
      <c r="D227" s="185">
        <f>+G226</f>
        <v>0</v>
      </c>
      <c r="E227" s="185">
        <f>IF(D227&gt;1,+$G$206-F227,0)</f>
        <v>0</v>
      </c>
      <c r="F227" s="185">
        <f>+D227*$E$206/12*$E$205</f>
        <v>0</v>
      </c>
      <c r="G227" s="185">
        <f>IF(D227&gt;1,D227-E227,0)</f>
        <v>0</v>
      </c>
      <c r="H227" s="172"/>
      <c r="J227" s="118"/>
    </row>
    <row r="228" spans="3:10" ht="18" customHeight="1" x14ac:dyDescent="0.25">
      <c r="C228" s="182" t="s">
        <v>460</v>
      </c>
      <c r="D228" s="183">
        <v>4</v>
      </c>
      <c r="E228" s="182">
        <f>SUM(E224:E227)</f>
        <v>0</v>
      </c>
      <c r="F228" s="182">
        <f>SUM(F224:F227)</f>
        <v>0</v>
      </c>
      <c r="G228" s="182">
        <f>+G227</f>
        <v>0</v>
      </c>
      <c r="H228" s="182">
        <f>+E228+K185+E185</f>
        <v>79.418000821613035</v>
      </c>
      <c r="I228" s="182">
        <f>+F228+L185+F185</f>
        <v>13.445427751892277</v>
      </c>
      <c r="J228" s="182">
        <f>+H228+I228</f>
        <v>92.863428573505317</v>
      </c>
    </row>
    <row r="229" spans="3:10" ht="18" customHeight="1" x14ac:dyDescent="0.25">
      <c r="C229" s="185">
        <v>17</v>
      </c>
      <c r="D229" s="185">
        <f>+G227</f>
        <v>0</v>
      </c>
      <c r="E229" s="185">
        <f>IF(D229&gt;1,+$G$206-F229,0)</f>
        <v>0</v>
      </c>
      <c r="F229" s="185">
        <f>+D229*$E$206/12*$E$205</f>
        <v>0</v>
      </c>
      <c r="G229" s="185">
        <f>IF(D229&gt;1,D229-E229,0)</f>
        <v>0</v>
      </c>
      <c r="H229" s="172"/>
      <c r="J229" s="118"/>
    </row>
    <row r="230" spans="3:10" ht="18" customHeight="1" x14ac:dyDescent="0.25">
      <c r="C230" s="185">
        <v>18</v>
      </c>
      <c r="D230" s="185">
        <f>+G229</f>
        <v>0</v>
      </c>
      <c r="E230" s="185">
        <f>IF(D230&gt;1,+$G$206-F230,0)</f>
        <v>0</v>
      </c>
      <c r="F230" s="185">
        <f>+D230*$E$206/12*$E$205</f>
        <v>0</v>
      </c>
      <c r="G230" s="185">
        <f>IF(D230&gt;1,D230-E230,0)</f>
        <v>0</v>
      </c>
      <c r="H230" s="172"/>
      <c r="J230" s="118"/>
    </row>
    <row r="231" spans="3:10" ht="18" customHeight="1" x14ac:dyDescent="0.25">
      <c r="C231" s="185">
        <v>19</v>
      </c>
      <c r="D231" s="185">
        <f>+G230</f>
        <v>0</v>
      </c>
      <c r="E231" s="185">
        <f>IF(D231&gt;1,+$G$206-F231,0)</f>
        <v>0</v>
      </c>
      <c r="F231" s="185">
        <f>+D231*$E$206/12*$E$205</f>
        <v>0</v>
      </c>
      <c r="G231" s="185">
        <f>IF(D231&gt;1,D231-E231,0)</f>
        <v>0</v>
      </c>
      <c r="H231" s="172"/>
      <c r="J231" s="118"/>
    </row>
    <row r="232" spans="3:10" ht="18" customHeight="1" x14ac:dyDescent="0.25">
      <c r="C232" s="185">
        <v>20</v>
      </c>
      <c r="D232" s="185">
        <f>+G231</f>
        <v>0</v>
      </c>
      <c r="E232" s="185">
        <f>IF(D232&gt;1,+$G$206-F232,0)</f>
        <v>0</v>
      </c>
      <c r="F232" s="185">
        <f>+D232*$E$206/12*$E$205</f>
        <v>0</v>
      </c>
      <c r="G232" s="185">
        <f>IF(D232&gt;1,D232-E232,0)</f>
        <v>0</v>
      </c>
      <c r="H232" s="172"/>
      <c r="J232" s="118"/>
    </row>
    <row r="233" spans="3:10" ht="18" customHeight="1" x14ac:dyDescent="0.25">
      <c r="C233" s="182" t="s">
        <v>460</v>
      </c>
      <c r="D233" s="183">
        <v>5</v>
      </c>
      <c r="E233" s="182">
        <f>SUM(E229:E232)</f>
        <v>0</v>
      </c>
      <c r="F233" s="182">
        <f>SUM(F229:F232)</f>
        <v>0</v>
      </c>
      <c r="G233" s="182">
        <f>+G232</f>
        <v>0</v>
      </c>
      <c r="H233" s="182">
        <f>+E233+K190+E190</f>
        <v>82.921244630497768</v>
      </c>
      <c r="I233" s="182">
        <f>+F233+L190+F190</f>
        <v>9.9421839430075458</v>
      </c>
      <c r="J233" s="182">
        <f>+H233+I233</f>
        <v>92.863428573505317</v>
      </c>
    </row>
    <row r="234" spans="3:10" ht="18" customHeight="1" x14ac:dyDescent="0.25">
      <c r="C234" s="185">
        <v>21</v>
      </c>
      <c r="D234" s="185">
        <f>+G232</f>
        <v>0</v>
      </c>
      <c r="E234" s="185">
        <f>IF(D234&gt;1,+$G$206-F234,0)</f>
        <v>0</v>
      </c>
      <c r="F234" s="185">
        <f>+D234*$E$206/12*$E$205</f>
        <v>0</v>
      </c>
      <c r="G234" s="185">
        <f>IF(D234&gt;1,D234-E234,0)</f>
        <v>0</v>
      </c>
      <c r="H234" s="172"/>
      <c r="J234" s="118"/>
    </row>
    <row r="235" spans="3:10" ht="18" customHeight="1" x14ac:dyDescent="0.25">
      <c r="C235" s="185">
        <v>22</v>
      </c>
      <c r="D235" s="185">
        <f>+G234</f>
        <v>0</v>
      </c>
      <c r="E235" s="185">
        <f>IF(D235&gt;1,+$G$206-F235,0)</f>
        <v>0</v>
      </c>
      <c r="F235" s="185">
        <f>+D235*$E$206/12*$E$205</f>
        <v>0</v>
      </c>
      <c r="G235" s="185">
        <f>IF(D235&gt;1,D235-E235,0)</f>
        <v>0</v>
      </c>
      <c r="H235" s="172"/>
      <c r="J235" s="118"/>
    </row>
    <row r="236" spans="3:10" ht="18" customHeight="1" x14ac:dyDescent="0.25">
      <c r="C236" s="185">
        <v>23</v>
      </c>
      <c r="D236" s="185">
        <f>+G235</f>
        <v>0</v>
      </c>
      <c r="E236" s="185">
        <f>IF(D236&gt;1,+$G$206-F236,0)</f>
        <v>0</v>
      </c>
      <c r="F236" s="185">
        <f>+D236*$E$206/12*$E$205</f>
        <v>0</v>
      </c>
      <c r="G236" s="185">
        <f>IF(D236&gt;1,D236-E236,0)</f>
        <v>0</v>
      </c>
      <c r="H236" s="172"/>
      <c r="J236" s="118"/>
    </row>
    <row r="237" spans="3:10" ht="18" customHeight="1" x14ac:dyDescent="0.25">
      <c r="C237" s="185">
        <v>24</v>
      </c>
      <c r="D237" s="185">
        <f>+G236</f>
        <v>0</v>
      </c>
      <c r="E237" s="185">
        <f>IF(D237&gt;1,+$G$206-F237,0)</f>
        <v>0</v>
      </c>
      <c r="F237" s="185">
        <f>+D237*$E$206/12*$E$205</f>
        <v>0</v>
      </c>
      <c r="G237" s="185">
        <f>IF(D237&gt;1,D237-E237,0)</f>
        <v>0</v>
      </c>
      <c r="H237" s="172"/>
      <c r="J237" s="118"/>
    </row>
    <row r="238" spans="3:10" ht="18" customHeight="1" x14ac:dyDescent="0.25">
      <c r="C238" s="182" t="s">
        <v>460</v>
      </c>
      <c r="D238" s="183">
        <v>6</v>
      </c>
      <c r="E238" s="182">
        <f>SUM(E234:E237)</f>
        <v>0</v>
      </c>
      <c r="F238" s="182">
        <f>SUM(F234:F237)</f>
        <v>0</v>
      </c>
      <c r="G238" s="182">
        <f>+G237</f>
        <v>0</v>
      </c>
      <c r="H238" s="182">
        <f>+E238+K195+E195</f>
        <v>86.579021631574733</v>
      </c>
      <c r="I238" s="182">
        <f>+F238+L195+F195</f>
        <v>6.2844069419305848</v>
      </c>
      <c r="J238" s="182">
        <f>+H238+I238</f>
        <v>92.863428573505317</v>
      </c>
    </row>
    <row r="239" spans="3:10" ht="18" customHeight="1" x14ac:dyDescent="0.25">
      <c r="C239" s="185">
        <v>25</v>
      </c>
      <c r="D239" s="185">
        <f>+G237</f>
        <v>0</v>
      </c>
      <c r="E239" s="185">
        <f>IF(D239&gt;1,+$G$206-F239,0)</f>
        <v>0</v>
      </c>
      <c r="F239" s="185">
        <f>+D239*$E$206/12*$E$205</f>
        <v>0</v>
      </c>
      <c r="G239" s="185">
        <f>IF(D239&gt;1,D239-E239,0)</f>
        <v>0</v>
      </c>
      <c r="H239" s="172"/>
      <c r="J239" s="118"/>
    </row>
    <row r="240" spans="3:10" ht="18" customHeight="1" x14ac:dyDescent="0.25">
      <c r="C240" s="185">
        <v>26</v>
      </c>
      <c r="D240" s="185">
        <f>+G239</f>
        <v>0</v>
      </c>
      <c r="E240" s="185">
        <f>IF(D240&gt;1,+$G$206-F240,0)</f>
        <v>0</v>
      </c>
      <c r="F240" s="185">
        <f>+D240*$E$206/12*$E$205</f>
        <v>0</v>
      </c>
      <c r="G240" s="185">
        <f>IF(D240&gt;1,D240-E240,0)</f>
        <v>0</v>
      </c>
      <c r="H240" s="172"/>
      <c r="J240" s="118"/>
    </row>
    <row r="241" spans="3:10" ht="18" customHeight="1" x14ac:dyDescent="0.25">
      <c r="C241" s="185">
        <v>27</v>
      </c>
      <c r="D241" s="185">
        <f>+G240</f>
        <v>0</v>
      </c>
      <c r="E241" s="185">
        <f>IF(D241&gt;1,+$G$206-F241,0)</f>
        <v>0</v>
      </c>
      <c r="F241" s="185">
        <f>+D241*$E$206/12*$E$205</f>
        <v>0</v>
      </c>
      <c r="G241" s="185">
        <f>IF(D241&gt;1,D241-E241,0)</f>
        <v>0</v>
      </c>
      <c r="H241" s="172"/>
      <c r="J241" s="118"/>
    </row>
    <row r="242" spans="3:10" ht="18" customHeight="1" x14ac:dyDescent="0.25">
      <c r="C242" s="185">
        <v>28</v>
      </c>
      <c r="D242" s="185">
        <f>+G241</f>
        <v>0</v>
      </c>
      <c r="E242" s="185">
        <f>IF(D242&gt;1,+$G$206-F242,0)</f>
        <v>0</v>
      </c>
      <c r="F242" s="185">
        <f>+D242*$E$206/12*$E$205</f>
        <v>0</v>
      </c>
      <c r="G242" s="185">
        <f>IF(D242&gt;1,D242-E242,0)</f>
        <v>0</v>
      </c>
      <c r="H242" s="172"/>
      <c r="J242" s="118"/>
    </row>
    <row r="243" spans="3:10" ht="18" customHeight="1" x14ac:dyDescent="0.25">
      <c r="C243" s="182" t="s">
        <v>460</v>
      </c>
      <c r="D243" s="183">
        <v>7</v>
      </c>
      <c r="E243" s="182">
        <f>SUM(E239:E242)</f>
        <v>0</v>
      </c>
      <c r="F243" s="182">
        <f>SUM(F239:F242)</f>
        <v>0</v>
      </c>
      <c r="G243" s="182">
        <f>+G242</f>
        <v>0</v>
      </c>
      <c r="H243" s="182">
        <f>+E243+K200+E200</f>
        <v>90.398148509263251</v>
      </c>
      <c r="I243" s="182">
        <f>+F243+L200+F200</f>
        <v>2.4652800642420658</v>
      </c>
      <c r="J243" s="182">
        <f>+H243+I243</f>
        <v>92.863428573505317</v>
      </c>
    </row>
  </sheetData>
  <sheetProtection sheet="1" objects="1" scenarios="1"/>
  <mergeCells count="20">
    <mergeCell ref="C88:G88"/>
    <mergeCell ref="I47:J47"/>
    <mergeCell ref="C134:G134"/>
    <mergeCell ref="I134:M134"/>
    <mergeCell ref="H205:J205"/>
    <mergeCell ref="N30:N31"/>
    <mergeCell ref="J2:N2"/>
    <mergeCell ref="B19:C19"/>
    <mergeCell ref="J23:L23"/>
    <mergeCell ref="I30:K30"/>
    <mergeCell ref="I48:J48"/>
    <mergeCell ref="C159:G159"/>
    <mergeCell ref="I88:M88"/>
    <mergeCell ref="I159:M159"/>
    <mergeCell ref="C50:M50"/>
    <mergeCell ref="C202:G202"/>
    <mergeCell ref="E77:F77"/>
    <mergeCell ref="K77:L77"/>
    <mergeCell ref="G77:H77"/>
    <mergeCell ref="I77:J77"/>
  </mergeCells>
  <printOptions horizontalCentered="1" verticalCentered="1"/>
  <pageMargins left="0.196527777777778" right="0.43333333333333302" top="0.3" bottom="1.44027777777778" header="0.3" footer="0.511811023622047"/>
  <pageSetup paperSize="9" scale="60" orientation="landscape" horizontalDpi="300" verticalDpi="300"/>
  <headerFooter>
    <oddHeader>&amp;L&amp;D</oddHeader>
  </headerFooter>
  <rowBreaks count="4" manualBreakCount="4">
    <brk id="86" max="16383" man="1"/>
    <brk id="129" max="16383" man="1"/>
    <brk id="157" max="16383" man="1"/>
    <brk id="2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DASHBOARD</vt:lpstr>
      <vt:lpstr>AGGIORNAMENTO 2026</vt:lpstr>
      <vt:lpstr>APRI</vt:lpstr>
      <vt:lpstr>CALCOLI</vt:lpstr>
      <vt:lpstr>APRI!Area_stampa</vt:lpstr>
      <vt:lpstr>CALCOLI!Area_stampa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TAFUNI</dc:creator>
  <cp:lastModifiedBy>Gianni Loseto</cp:lastModifiedBy>
  <cp:revision>0</cp:revision>
  <cp:lastPrinted>2007-01-05T15:03:42Z</cp:lastPrinted>
  <dcterms:created xsi:type="dcterms:W3CDTF">1997-11-04T15:47:50Z</dcterms:created>
  <dcterms:modified xsi:type="dcterms:W3CDTF">2026-08-13T13:50:08Z</dcterms:modified>
  <dc:language>en-US</dc:language>
</cp:coreProperties>
</file>